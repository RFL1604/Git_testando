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oliveira\Desktop\Mapa Cirurgico_DPA X Area Tecnica X Custos Hospitalares\"/>
    </mc:Choice>
  </mc:AlternateContent>
  <xr:revisionPtr revIDLastSave="0" documentId="13_ncr:1_{1F1E9537-BDDD-4ED5-8F11-CD8253C5CB1D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MAPA - 30909031" sheetId="1" r:id="rId1"/>
    <sheet name="CM - 30909031" sheetId="2" r:id="rId2"/>
    <sheet name="BASE" sheetId="3" r:id="rId3"/>
    <sheet name="Dinamica" sheetId="4" r:id="rId4"/>
  </sheets>
  <definedNames>
    <definedName name="_xlnm._FilterDatabase" localSheetId="2" hidden="1">BASE!$B$6:$W$15</definedName>
    <definedName name="_xlnm._FilterDatabase" localSheetId="1" hidden="1">'CM - 30909031'!$B$5:$I$6</definedName>
    <definedName name="_xlnm._FilterDatabase" localSheetId="0" hidden="1">'MAPA - 30909031'!$B$6:$L$13</definedName>
    <definedName name="_xlcn.WorksheetConnection_BASEB6W201" hidden="1">BASE!$B$6:$W$20</definedName>
  </definedNames>
  <calcPr calcId="191029"/>
  <pivotCaches>
    <pivotCache cacheId="226" r:id="rId5"/>
  </pivotCaches>
  <extLst>
    <ext xmlns:x15="http://schemas.microsoft.com/office/spreadsheetml/2010/11/main" uri="{FCE2AD5D-F65C-4FA6-A056-5C36A1767C68}">
      <x15:dataModel>
        <x15:modelTables>
          <x15:modelTable id="Intervalo" name="Intervalo" connection="WorksheetConnection_BASE!$B$6:$W$2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C46247-2B69-4EEC-8236-16B0C16B606A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DC3EADD-201A-4379-AE57-529A169DB24F}" name="WorksheetConnection_BASE!$B$6:$W$20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BASEB6W201"/>
        </x15:connection>
      </ext>
    </extLst>
  </connection>
</connections>
</file>

<file path=xl/sharedStrings.xml><?xml version="1.0" encoding="utf-8"?>
<sst xmlns="http://schemas.openxmlformats.org/spreadsheetml/2006/main" count="384" uniqueCount="93">
  <si>
    <t>Tipo Lançamento</t>
  </si>
  <si>
    <t>PRODUCAO MEDICA</t>
  </si>
  <si>
    <t>Cód. Tipo Prod Méd.</t>
  </si>
  <si>
    <t>HONORA</t>
  </si>
  <si>
    <t>Cód. Serviço</t>
  </si>
  <si>
    <t>30909031</t>
  </si>
  <si>
    <t>Descr. Serviço</t>
  </si>
  <si>
    <t>HEMODIALISE CRONICA (POR SESSAO)</t>
  </si>
  <si>
    <t>Cód. Tipo Particip. Equipe Méd.</t>
  </si>
  <si>
    <t>CIRURGIAO</t>
  </si>
  <si>
    <t>Qtd. Guias</t>
  </si>
  <si>
    <t>% Total Guias</t>
  </si>
  <si>
    <t>Qtd. Total Serviço</t>
  </si>
  <si>
    <t>Qtd. Média Serviço por Guia</t>
  </si>
  <si>
    <t>Valor Total</t>
  </si>
  <si>
    <t>Valor Unitário Médio</t>
  </si>
  <si>
    <t>GABARI</t>
  </si>
  <si>
    <t>98000363</t>
  </si>
  <si>
    <t>HEMODIAFILTRACAO ONLINE (HDF-OL) - GRUPO DA VITA</t>
  </si>
  <si>
    <t>N/A</t>
  </si>
  <si>
    <t>98000611</t>
  </si>
  <si>
    <t>CONCENTRADO DE HEMACEAS SIMPLES</t>
  </si>
  <si>
    <t>98000707</t>
  </si>
  <si>
    <t>TESTE NAT - PESQUISA DO VIRUS HIV, HCV E HBV POR COMPONENTE HEMOTERAPICO</t>
  </si>
  <si>
    <t>27990010</t>
  </si>
  <si>
    <t>CONCENTRADO DE HEMACIAS SIMPLES</t>
  </si>
  <si>
    <t>HEMOTERAPEUT</t>
  </si>
  <si>
    <t>30909155</t>
  </si>
  <si>
    <t>HEMODIALFILTRACAO ONLINE (HDF-OL)</t>
  </si>
  <si>
    <t>SERCOM</t>
  </si>
  <si>
    <t>40301087</t>
  </si>
  <si>
    <t>ACIDO FOLICO, PESQUISA E/OU DOSAGEM NOS ERITROCITOS</t>
  </si>
  <si>
    <t>40301397</t>
  </si>
  <si>
    <t>BILIRRUBINAS (DIRETA, INDIRETA E TOTAL) - PESQUISA E/OU DOSAGEM</t>
  </si>
  <si>
    <t>40304361</t>
  </si>
  <si>
    <t>HEMOGRAMA COM CONTAGEM DE PLAQUETAS OU FRACOES (ERITROGRAMA, LEUCOGRAMA, PLAQUETAS)</t>
  </si>
  <si>
    <t>40304558</t>
  </si>
  <si>
    <t>RETICULOCITOS, CONTAGEM</t>
  </si>
  <si>
    <t>40316572</t>
  </si>
  <si>
    <t>VITAMINA B12 - PESQUISA E/OU DOSAGEM</t>
  </si>
  <si>
    <t>TAXA</t>
  </si>
  <si>
    <t>60024933</t>
  </si>
  <si>
    <t>TAXA POR USO/SESSAO DE SALA DE HEMODIALISE CRONICA INTERMITENTE</t>
  </si>
  <si>
    <t>Classif. Guia</t>
  </si>
  <si>
    <t>GUIA CONCOMITANTE</t>
  </si>
  <si>
    <t>Classif. Interc.</t>
  </si>
  <si>
    <t>CAMPINAS</t>
  </si>
  <si>
    <t>Solic. Principal</t>
  </si>
  <si>
    <t>2701849184</t>
  </si>
  <si>
    <t>Total Guia</t>
  </si>
  <si>
    <t>2704750531</t>
  </si>
  <si>
    <t>Média Geral</t>
  </si>
  <si>
    <t>Mediana Geral</t>
  </si>
  <si>
    <t>Solic.</t>
  </si>
  <si>
    <t>UNCP</t>
  </si>
  <si>
    <t>uncp0424</t>
  </si>
  <si>
    <t>Descr. UNCP</t>
  </si>
  <si>
    <t>SOCIEDADE CAMPINEIRA DE EDUCACAO E INSTRUCAO</t>
  </si>
  <si>
    <t>Tipo de Local Atend.</t>
  </si>
  <si>
    <t>HOSABC</t>
  </si>
  <si>
    <t>Classif. Local Atend.</t>
  </si>
  <si>
    <t>A3P</t>
  </si>
  <si>
    <t>Tipo Executante</t>
  </si>
  <si>
    <t>PJ</t>
  </si>
  <si>
    <t>ID Executante</t>
  </si>
  <si>
    <t>8983</t>
  </si>
  <si>
    <t>Nome Executante</t>
  </si>
  <si>
    <t>Cód. Tipo Prod. Méd.</t>
  </si>
  <si>
    <t>Quantidade</t>
  </si>
  <si>
    <t>Valor</t>
  </si>
  <si>
    <t>MAPA</t>
  </si>
  <si>
    <t>uncp2636</t>
  </si>
  <si>
    <t>DAVITA SERVICOS DE NEFROLOGIA VALINHOS LTDA</t>
  </si>
  <si>
    <t>CLI</t>
  </si>
  <si>
    <t>DVT</t>
  </si>
  <si>
    <t>PF</t>
  </si>
  <si>
    <t>595854</t>
  </si>
  <si>
    <t>ALESSANDRO MUNHOZ PARMIGIANI</t>
  </si>
  <si>
    <t>AGTRAN</t>
  </si>
  <si>
    <t>A</t>
  </si>
  <si>
    <t>3608314</t>
  </si>
  <si>
    <t>HEMOTERAPIA LTDA</t>
  </si>
  <si>
    <t>3674507</t>
  </si>
  <si>
    <t>1120</t>
  </si>
  <si>
    <t>BRUNO ANDRADE PAGUNG</t>
  </si>
  <si>
    <t>Idade</t>
  </si>
  <si>
    <t>MASCULINO</t>
  </si>
  <si>
    <t>64 ANOS</t>
  </si>
  <si>
    <t>69 ANOS</t>
  </si>
  <si>
    <t>Id Usuario</t>
  </si>
  <si>
    <t>Sexo</t>
  </si>
  <si>
    <t>Contagem Distinta de Solic. Principal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</si>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</sst>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%"/>
    <numFmt numFmtId="165" formatCode="_-\R\$\ * #,##0.00_-;\-\R\$\ * #,##0.00_-;_-\R\$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2" xfId="0" applyNumberFormat="1" applyBorder="1" applyAlignment="1">
      <alignment horizontal="left"/>
    </xf>
    <xf numFmtId="0" fontId="0" fillId="0" borderId="0" xfId="0" applyNumberFormat="1"/>
    <xf numFmtId="0" fontId="0" fillId="0" borderId="0" xfId="0" pivotButton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6"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91481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11</xdr:col>
      <xdr:colOff>504825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47825" y="190500"/>
          <a:ext cx="145637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  MAPA CIRÚRGICO - PROCEDIMENTO: 30909031 - QTD. GUIAS: 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91481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16</xdr:col>
      <xdr:colOff>438150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781175" y="190500"/>
          <a:ext cx="145637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CUSTO MÉDIO - PROCEDIMENTO: 30909031 - QTD. GUIAS: 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88306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20</xdr:col>
      <xdr:colOff>581025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781175" y="190500"/>
          <a:ext cx="239077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BASE DE MAPA CIRÚRGICO - PROCEDIMENTO: 30909031 - QTD. GUIAS: 2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Mendes Oliveira" refreshedDate="45511.744765740739" backgroundQuery="1" createdVersion="8" refreshedVersion="8" minRefreshableVersion="3" recordCount="0" supportSubquery="1" supportAdvancedDrill="1" xr:uid="{C56F31F5-34F7-46F1-AC52-8DACD722262D}">
  <cacheSource type="external" connectionId="1"/>
  <cacheFields count="5">
    <cacheField name="[Measures].[Contagem Distinta de Solic. Principal]" caption="Contagem Distinta de Solic. Principal" numFmtId="0" hierarchy="25" level="32767"/>
    <cacheField name="[Intervalo].[Id Usuario].[Id Usuario]" caption="Id Usuario" numFmtId="0" hierarchy="4" level="1">
      <sharedItems containsSemiMixedTypes="0" containsString="0" containsNumber="1" containsInteger="1" minValue="6709617" maxValue="8697458" count="2">
        <n v="6709617"/>
        <n v="8697458"/>
      </sharedItems>
      <extLst>
        <ext xmlns:x15="http://schemas.microsoft.com/office/spreadsheetml/2010/11/main" uri="{4F2E5C28-24EA-4eb8-9CBF-B6C8F9C3D259}">
          <x15:cachedUniqueNames>
            <x15:cachedUniqueName index="0" name="[Intervalo].[Id Usuario].&amp;[6709617]"/>
            <x15:cachedUniqueName index="1" name="[Intervalo].[Id Usuario].&amp;[8697458]"/>
          </x15:cachedUniqueNames>
        </ext>
      </extLst>
    </cacheField>
    <cacheField name="[Intervalo].[Idade].[Idade]" caption="Idade" numFmtId="0" hierarchy="5" level="1">
      <sharedItems count="2">
        <s v="64 ANOS"/>
        <s v="69 ANOS"/>
      </sharedItems>
    </cacheField>
    <cacheField name="[Intervalo].[Sexo].[Sexo]" caption="Sexo" numFmtId="0" hierarchy="6" level="1">
      <sharedItems count="1">
        <s v="MASCULINO"/>
      </sharedItems>
    </cacheField>
    <cacheField name="[Intervalo].[Cód. Serviço].[Cód. Serviço]" caption="Cód. Serviço" numFmtId="0" hierarchy="16" level="1">
      <sharedItems count="12">
        <s v="30909031"/>
        <s v="30909155"/>
        <s v="98000363"/>
        <s v="27990010"/>
        <s v="40301087"/>
        <s v="40301397"/>
        <s v="40304361"/>
        <s v="40304558"/>
        <s v="40316572"/>
        <s v="60024933"/>
        <s v="98000611"/>
        <s v="98000707"/>
      </sharedItems>
    </cacheField>
  </cacheFields>
  <cacheHierarchies count="26">
    <cacheHierarchy uniqueName="[Intervalo].[Classif. Guia]" caption="Classif. Guia" attribute="1" defaultMemberUniqueName="[Intervalo].[Classif. Guia].[All]" allUniqueName="[Intervalo].[Classif. Guia].[All]" dimensionUniqueName="[Intervalo]" displayFolder="" count="0" memberValueDatatype="130" unbalanced="0"/>
    <cacheHierarchy uniqueName="[Intervalo].[Classif. Interc.]" caption="Classif. Interc." attribute="1" defaultMemberUniqueName="[Intervalo].[Classif. Interc.].[All]" allUniqueName="[Intervalo].[Classif. Interc.].[All]" dimensionUniqueName="[Intervalo]" displayFolder="" count="0" memberValueDatatype="130" unbalanced="0"/>
    <cacheHierarchy uniqueName="[Intervalo].[Solic. Principal]" caption="Solic. Principal" attribute="1" defaultMemberUniqueName="[Intervalo].[Solic. Principal].[All]" allUniqueName="[Intervalo].[Solic. Principal].[All]" dimensionUniqueName="[Intervalo]" displayFolder="" count="0" memberValueDatatype="130" unbalanced="0"/>
    <cacheHierarchy uniqueName="[Intervalo].[Solic.]" caption="Solic." attribute="1" defaultMemberUniqueName="[Intervalo].[Solic.].[All]" allUniqueName="[Intervalo].[Solic.].[All]" dimensionUniqueName="[Intervalo]" displayFolder="" count="0" memberValueDatatype="5" unbalanced="0"/>
    <cacheHierarchy uniqueName="[Intervalo].[Id Usuario]" caption="Id Usuario" attribute="1" defaultMemberUniqueName="[Intervalo].[Id Usuario].[All]" allUniqueName="[Intervalo].[Id Usuario].[All]" dimensionUniqueName="[Intervalo]" displayFolder="" count="2" memberValueDatatype="20" unbalanced="0">
      <fieldsUsage count="2">
        <fieldUsage x="-1"/>
        <fieldUsage x="1"/>
      </fieldsUsage>
    </cacheHierarchy>
    <cacheHierarchy uniqueName="[Intervalo].[Idade]" caption="Idade" attribute="1" defaultMemberUniqueName="[Intervalo].[Idade].[All]" allUniqueName="[Intervalo].[Idade].[All]" dimensionUniqueName="[Intervalo]" displayFolder="" count="2" memberValueDatatype="130" unbalanced="0">
      <fieldsUsage count="2">
        <fieldUsage x="-1"/>
        <fieldUsage x="2"/>
      </fieldsUsage>
    </cacheHierarchy>
    <cacheHierarchy uniqueName="[Intervalo].[Sexo]" caption="Sexo" attribute="1" defaultMemberUniqueName="[Intervalo].[Sexo].[All]" allUniqueName="[Intervalo].[Sexo].[All]" dimensionUniqueName="[Intervalo]" displayFolder="" count="2" memberValueDatatype="130" unbalanced="0">
      <fieldsUsage count="2">
        <fieldUsage x="-1"/>
        <fieldUsage x="3"/>
      </fieldsUsage>
    </cacheHierarchy>
    <cacheHierarchy uniqueName="[Intervalo].[Tipo Lançamento]" caption="Tipo Lançamento" attribute="1" defaultMemberUniqueName="[Intervalo].[Tipo Lançamento].[All]" allUniqueName="[Intervalo].[Tipo Lançamento].[All]" dimensionUniqueName="[Intervalo]" displayFolder="" count="0" memberValueDatatype="130" unbalanced="0"/>
    <cacheHierarchy uniqueName="[Intervalo].[UNCP]" caption="UNCP" attribute="1" defaultMemberUniqueName="[Intervalo].[UNCP].[All]" allUniqueName="[Intervalo].[UNCP].[All]" dimensionUniqueName="[Intervalo]" displayFolder="" count="0" memberValueDatatype="130" unbalanced="0"/>
    <cacheHierarchy uniqueName="[Intervalo].[Descr. UNCP]" caption="Descr. UNCP" attribute="1" defaultMemberUniqueName="[Intervalo].[Descr. UNCP].[All]" allUniqueName="[Intervalo].[Descr. UNCP].[All]" dimensionUniqueName="[Intervalo]" displayFolder="" count="0" memberValueDatatype="130" unbalanced="0"/>
    <cacheHierarchy uniqueName="[Intervalo].[Tipo de Local Atend.]" caption="Tipo de Local Atend." attribute="1" defaultMemberUniqueName="[Intervalo].[Tipo de Local Atend.].[All]" allUniqueName="[Intervalo].[Tipo de Local Atend.].[All]" dimensionUniqueName="[Intervalo]" displayFolder="" count="0" memberValueDatatype="130" unbalanced="0"/>
    <cacheHierarchy uniqueName="[Intervalo].[Classif. Local Atend.]" caption="Classif. Local Atend." attribute="1" defaultMemberUniqueName="[Intervalo].[Classif. Local Atend.].[All]" allUniqueName="[Intervalo].[Classif. Local Atend.].[All]" dimensionUniqueName="[Intervalo]" displayFolder="" count="0" memberValueDatatype="130" unbalanced="0"/>
    <cacheHierarchy uniqueName="[Intervalo].[Tipo Executante]" caption="Tipo Executante" attribute="1" defaultMemberUniqueName="[Intervalo].[Tipo Executante].[All]" allUniqueName="[Intervalo].[Tipo Executante].[All]" dimensionUniqueName="[Intervalo]" displayFolder="" count="0" memberValueDatatype="130" unbalanced="0"/>
    <cacheHierarchy uniqueName="[Intervalo].[ID Executante]" caption="ID Executante" attribute="1" defaultMemberUniqueName="[Intervalo].[ID Executante].[All]" allUniqueName="[Intervalo].[ID Executante].[All]" dimensionUniqueName="[Intervalo]" displayFolder="" count="0" memberValueDatatype="130" unbalanced="0"/>
    <cacheHierarchy uniqueName="[Intervalo].[Nome Executante]" caption="Nome Executante" attribute="1" defaultMemberUniqueName="[Intervalo].[Nome Executante].[All]" allUniqueName="[Intervalo].[Nome Executante].[All]" dimensionUniqueName="[Intervalo]" displayFolder="" count="0" memberValueDatatype="130" unbalanced="0"/>
    <cacheHierarchy uniqueName="[Intervalo].[Cód. Tipo Prod. Méd.]" caption="Cód. Tipo Prod. Méd." attribute="1" defaultMemberUniqueName="[Intervalo].[Cód. Tipo Prod. Méd.].[All]" allUniqueName="[Intervalo].[Cód. Tipo Prod. Méd.].[All]" dimensionUniqueName="[Intervalo]" displayFolder="" count="0" memberValueDatatype="130" unbalanced="0"/>
    <cacheHierarchy uniqueName="[Intervalo].[Cód. Serviço]" caption="Cód. Serviço" attribute="1" defaultMemberUniqueName="[Intervalo].[Cód. Serviço].[All]" allUniqueName="[Intervalo].[Cód. Serviço].[All]" dimensionUniqueName="[Intervalo]" displayFolder="" count="2" memberValueDatatype="130" unbalanced="0">
      <fieldsUsage count="2">
        <fieldUsage x="-1"/>
        <fieldUsage x="4"/>
      </fieldsUsage>
    </cacheHierarchy>
    <cacheHierarchy uniqueName="[Intervalo].[Descr. Serviço]" caption="Descr. Serviço" attribute="1" defaultMemberUniqueName="[Intervalo].[Descr. Serviço].[All]" allUniqueName="[Intervalo].[Descr. Serviço].[All]" dimensionUniqueName="[Intervalo]" displayFolder="" count="0" memberValueDatatype="130" unbalanced="0"/>
    <cacheHierarchy uniqueName="[Intervalo].[Cód. Tipo Particip. Equipe Méd.]" caption="Cód. Tipo Particip. Equipe Méd." attribute="1" defaultMemberUniqueName="[Intervalo].[Cód. Tipo Particip. Equipe Méd.].[All]" allUniqueName="[Intervalo].[Cód. Tipo Particip. Equipe Méd.].[All]" dimensionUniqueName="[Intervalo]" displayFolder="" count="0" memberValueDatatype="130" unbalanced="0"/>
    <cacheHierarchy uniqueName="[Intervalo].[Quantidade]" caption="Quantidade" attribute="1" defaultMemberUniqueName="[Intervalo].[Quantidade].[All]" allUniqueName="[Intervalo].[Quantidade].[All]" dimensionUniqueName="[Intervalo]" displayFolder="" count="0" memberValueDatatype="20" unbalanced="0"/>
    <cacheHierarchy uniqueName="[Intervalo].[Valor]" caption="Valor" attribute="1" defaultMemberUniqueName="[Intervalo].[Valor].[All]" allUniqueName="[Intervalo].[Valor].[All]" dimensionUniqueName="[Intervalo]" displayFolder="" count="0" memberValueDatatype="5" unbalanced="0"/>
    <cacheHierarchy uniqueName="[Intervalo].[MAPA]" caption="MAPA" attribute="1" defaultMemberUniqueName="[Intervalo].[MAPA].[All]" allUniqueName="[Intervalo].[MAPA].[All]" dimensionUniqueName="[Intervalo]" displayFolder="" count="0" memberValueDatatype="13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Contagem de Solic. Principal]" caption="Contagem de Solic. Principal" measure="1" displayFolder="" measureGroup="Interval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istinta de Solic. Principal]" caption="Contagem Distinta de Solic. Principal" measure="1" displayFolder="" measureGroup="Interval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F02EC-9C7E-43BD-BDCF-09427BAC6B6E}" name="Tabela dinâmica7" cacheId="2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18" firstHeaderRow="1" firstDataRow="2" firstDataCol="3"/>
  <pivotFields count="5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Col" compact="0" allDrilled="1" outline="0" subtotalTop="0" showAll="0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3">
    <field x="1"/>
    <field x="2"/>
    <field x="4"/>
  </rowFields>
  <rowItems count="14">
    <i>
      <x/>
      <x/>
      <x/>
    </i>
    <i r="2">
      <x v="1"/>
    </i>
    <i r="2">
      <x v="2"/>
    </i>
    <i>
      <x v="1"/>
      <x v="1"/>
      <x v="3"/>
    </i>
    <i r="2">
      <x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t="grand">
      <x/>
    </i>
  </rowItems>
  <colFields count="1">
    <field x="3"/>
  </colFields>
  <colItems count="2">
    <i>
      <x/>
    </i>
    <i t="grand">
      <x/>
    </i>
  </colItems>
  <dataFields count="1">
    <dataField name="Contagem Distinta de Solic. Principal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6">
    <format dxfId="5">
      <pivotArea dataOnly="0" labelOnly="1" outline="0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4">
      <pivotArea dataOnly="0" labelOnly="1" outline="0" fieldPosition="0">
        <references count="2">
          <reference field="1" count="1" selected="0">
            <x v="1"/>
          </reference>
          <reference field="2" count="1">
            <x v="1"/>
          </reference>
        </references>
      </pivotArea>
    </format>
    <format dxfId="3">
      <pivotArea dataOnly="0" labelOnly="1" outline="0" fieldPosition="0">
        <references count="1">
          <reference field="1" count="1">
            <x v="0"/>
          </reference>
        </references>
      </pivotArea>
    </format>
    <format dxfId="2">
      <pivotArea dataOnly="0" labelOnly="1" outline="0" fieldPosition="0">
        <references count="1">
          <reference field="1" count="1">
            <x v="1"/>
          </reference>
        </references>
      </pivotArea>
    </format>
    <format dxfId="1">
      <pivotArea dataOnly="0" labelOnly="1" outline="0" fieldPosition="0">
        <references count="1">
          <reference field="1" count="1">
            <x v="0"/>
          </reference>
        </references>
      </pivotArea>
    </format>
    <format dxfId="0">
      <pivotArea dataOnly="0" labelOnly="1" outline="0" fieldPosition="0">
        <references count="1">
          <reference field="1" count="1">
            <x v="1"/>
          </reference>
        </references>
      </pivotArea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Solic. Principal"/>
  </pivotHierarchies>
  <pivotTableStyleInfo name="PivotStyleMedium6" showRowHeaders="1" showColHeaders="1" showRowStripes="0" showColStripes="0" showLastColumn="1"/>
  <rowHierarchiesUsage count="3">
    <rowHierarchyUsage hierarchyUsage="4"/>
    <rowHierarchyUsage hierarchyUsage="5"/>
    <rowHierarchyUsage hierarchyUsage="16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!$B$6:$W$20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L18"/>
  <sheetViews>
    <sheetView showGridLines="0" workbookViewId="0">
      <selection activeCell="E7" sqref="E7"/>
    </sheetView>
  </sheetViews>
  <sheetFormatPr defaultRowHeight="14.5" x14ac:dyDescent="0.35"/>
  <cols>
    <col min="1" max="1" width="2.54296875" customWidth="1"/>
    <col min="2" max="3" width="18.7265625" customWidth="1"/>
    <col min="4" max="4" width="11.54296875" customWidth="1"/>
    <col min="5" max="5" width="70.7265625" customWidth="1"/>
    <col min="6" max="6" width="27.7265625" customWidth="1"/>
    <col min="7" max="7" width="10.7265625" customWidth="1"/>
    <col min="8" max="8" width="12.7265625" customWidth="1"/>
    <col min="9" max="9" width="16.7265625" customWidth="1"/>
    <col min="10" max="10" width="25.7265625" customWidth="1"/>
    <col min="11" max="12" width="19.7265625" customWidth="1"/>
  </cols>
  <sheetData>
    <row r="6" spans="2:12" x14ac:dyDescent="0.35">
      <c r="B6" s="1" t="s">
        <v>0</v>
      </c>
      <c r="C6" s="1" t="s">
        <v>2</v>
      </c>
      <c r="D6" s="1" t="s">
        <v>4</v>
      </c>
      <c r="E6" s="1" t="s">
        <v>6</v>
      </c>
      <c r="F6" s="1" t="s">
        <v>8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</row>
    <row r="7" spans="2:12" x14ac:dyDescent="0.35">
      <c r="B7" s="2" t="s">
        <v>1</v>
      </c>
      <c r="C7" s="3" t="s">
        <v>3</v>
      </c>
      <c r="D7" s="3" t="s">
        <v>5</v>
      </c>
      <c r="E7" s="2" t="s">
        <v>7</v>
      </c>
      <c r="F7" s="3" t="s">
        <v>9</v>
      </c>
      <c r="G7" s="3">
        <v>2</v>
      </c>
      <c r="H7" s="4">
        <v>1</v>
      </c>
      <c r="I7" s="3">
        <v>2</v>
      </c>
      <c r="J7" s="5">
        <v>1</v>
      </c>
      <c r="K7" s="6">
        <v>190.58</v>
      </c>
      <c r="L7" s="6">
        <v>95.29</v>
      </c>
    </row>
    <row r="8" spans="2:12" x14ac:dyDescent="0.35">
      <c r="B8" s="2" t="s">
        <v>1</v>
      </c>
      <c r="C8" s="3" t="s">
        <v>16</v>
      </c>
      <c r="D8" s="3" t="s">
        <v>17</v>
      </c>
      <c r="E8" s="2" t="s">
        <v>18</v>
      </c>
      <c r="F8" s="3" t="s">
        <v>19</v>
      </c>
      <c r="G8" s="3">
        <v>1</v>
      </c>
      <c r="H8" s="4">
        <v>0.5</v>
      </c>
      <c r="I8" s="3">
        <v>1</v>
      </c>
      <c r="J8" s="5">
        <v>1</v>
      </c>
      <c r="K8" s="6">
        <v>572.05999999999995</v>
      </c>
      <c r="L8" s="6">
        <v>572.05999999999995</v>
      </c>
    </row>
    <row r="9" spans="2:12" x14ac:dyDescent="0.35">
      <c r="B9" s="2" t="s">
        <v>1</v>
      </c>
      <c r="C9" s="3" t="s">
        <v>16</v>
      </c>
      <c r="D9" s="3" t="s">
        <v>20</v>
      </c>
      <c r="E9" s="2" t="s">
        <v>21</v>
      </c>
      <c r="F9" s="3" t="s">
        <v>19</v>
      </c>
      <c r="G9" s="3">
        <v>1</v>
      </c>
      <c r="H9" s="4">
        <v>0.5</v>
      </c>
      <c r="I9" s="3">
        <v>1</v>
      </c>
      <c r="J9" s="5">
        <v>1</v>
      </c>
      <c r="K9" s="6">
        <v>353.9</v>
      </c>
      <c r="L9" s="6">
        <v>353.9</v>
      </c>
    </row>
    <row r="10" spans="2:12" x14ac:dyDescent="0.35">
      <c r="B10" s="2" t="s">
        <v>1</v>
      </c>
      <c r="C10" s="3" t="s">
        <v>16</v>
      </c>
      <c r="D10" s="3" t="s">
        <v>22</v>
      </c>
      <c r="E10" s="2" t="s">
        <v>23</v>
      </c>
      <c r="F10" s="3" t="s">
        <v>19</v>
      </c>
      <c r="G10" s="3">
        <v>1</v>
      </c>
      <c r="H10" s="4">
        <v>0.5</v>
      </c>
      <c r="I10" s="3">
        <v>1</v>
      </c>
      <c r="J10" s="5">
        <v>1</v>
      </c>
      <c r="K10" s="6">
        <v>152.37</v>
      </c>
      <c r="L10" s="6">
        <v>152.37</v>
      </c>
    </row>
    <row r="11" spans="2:12" x14ac:dyDescent="0.35">
      <c r="B11" s="2" t="s">
        <v>1</v>
      </c>
      <c r="C11" s="3" t="s">
        <v>3</v>
      </c>
      <c r="D11" s="3" t="s">
        <v>24</v>
      </c>
      <c r="E11" s="2" t="s">
        <v>25</v>
      </c>
      <c r="F11" s="3" t="s">
        <v>26</v>
      </c>
      <c r="G11" s="3">
        <v>1</v>
      </c>
      <c r="H11" s="4">
        <v>0.5</v>
      </c>
      <c r="I11" s="3">
        <v>1</v>
      </c>
      <c r="J11" s="5">
        <v>1</v>
      </c>
      <c r="K11" s="6">
        <v>0</v>
      </c>
      <c r="L11" s="6">
        <v>0</v>
      </c>
    </row>
    <row r="12" spans="2:12" x14ac:dyDescent="0.35">
      <c r="B12" s="2" t="s">
        <v>1</v>
      </c>
      <c r="C12" s="3" t="s">
        <v>3</v>
      </c>
      <c r="D12" s="3" t="s">
        <v>27</v>
      </c>
      <c r="E12" s="2" t="s">
        <v>28</v>
      </c>
      <c r="F12" s="3" t="s">
        <v>9</v>
      </c>
      <c r="G12" s="3">
        <v>1</v>
      </c>
      <c r="H12" s="4">
        <v>0.5</v>
      </c>
      <c r="I12" s="3">
        <v>2</v>
      </c>
      <c r="J12" s="5">
        <v>2</v>
      </c>
      <c r="K12" s="6">
        <v>190.58</v>
      </c>
      <c r="L12" s="6">
        <v>95.29</v>
      </c>
    </row>
    <row r="13" spans="2:12" x14ac:dyDescent="0.35">
      <c r="B13" s="2" t="s">
        <v>1</v>
      </c>
      <c r="C13" s="3" t="s">
        <v>29</v>
      </c>
      <c r="D13" s="3" t="s">
        <v>30</v>
      </c>
      <c r="E13" s="2" t="s">
        <v>31</v>
      </c>
      <c r="F13" s="3" t="s">
        <v>19</v>
      </c>
      <c r="G13" s="3">
        <v>1</v>
      </c>
      <c r="H13" s="4">
        <v>0.5</v>
      </c>
      <c r="I13" s="3">
        <v>1</v>
      </c>
      <c r="J13" s="5">
        <v>1</v>
      </c>
      <c r="K13" s="6">
        <v>23.65</v>
      </c>
      <c r="L13" s="6">
        <v>23.65</v>
      </c>
    </row>
    <row r="14" spans="2:12" x14ac:dyDescent="0.35">
      <c r="B14" s="2" t="s">
        <v>1</v>
      </c>
      <c r="C14" s="3" t="s">
        <v>29</v>
      </c>
      <c r="D14" s="3" t="s">
        <v>32</v>
      </c>
      <c r="E14" s="2" t="s">
        <v>33</v>
      </c>
      <c r="F14" s="3" t="s">
        <v>19</v>
      </c>
      <c r="G14" s="3">
        <v>1</v>
      </c>
      <c r="H14" s="4">
        <v>0.5</v>
      </c>
      <c r="I14" s="3">
        <v>1</v>
      </c>
      <c r="J14" s="5">
        <v>1</v>
      </c>
      <c r="K14" s="6">
        <v>4.16</v>
      </c>
      <c r="L14" s="6">
        <v>4.16</v>
      </c>
    </row>
    <row r="15" spans="2:12" x14ac:dyDescent="0.35">
      <c r="B15" s="2" t="s">
        <v>1</v>
      </c>
      <c r="C15" s="3" t="s">
        <v>29</v>
      </c>
      <c r="D15" s="3" t="s">
        <v>34</v>
      </c>
      <c r="E15" s="2" t="s">
        <v>35</v>
      </c>
      <c r="F15" s="3" t="s">
        <v>19</v>
      </c>
      <c r="G15" s="3">
        <v>1</v>
      </c>
      <c r="H15" s="4">
        <v>0.5</v>
      </c>
      <c r="I15" s="3">
        <v>1</v>
      </c>
      <c r="J15" s="5">
        <v>1</v>
      </c>
      <c r="K15" s="6">
        <v>9.4</v>
      </c>
      <c r="L15" s="6">
        <v>9.4</v>
      </c>
    </row>
    <row r="16" spans="2:12" x14ac:dyDescent="0.35">
      <c r="B16" s="2" t="s">
        <v>1</v>
      </c>
      <c r="C16" s="3" t="s">
        <v>29</v>
      </c>
      <c r="D16" s="3" t="s">
        <v>36</v>
      </c>
      <c r="E16" s="2" t="s">
        <v>37</v>
      </c>
      <c r="F16" s="3" t="s">
        <v>19</v>
      </c>
      <c r="G16" s="3">
        <v>1</v>
      </c>
      <c r="H16" s="4">
        <v>0.5</v>
      </c>
      <c r="I16" s="3">
        <v>1</v>
      </c>
      <c r="J16" s="5">
        <v>1</v>
      </c>
      <c r="K16" s="6">
        <v>2.76</v>
      </c>
      <c r="L16" s="6">
        <v>2.76</v>
      </c>
    </row>
    <row r="17" spans="2:12" x14ac:dyDescent="0.35">
      <c r="B17" s="2" t="s">
        <v>1</v>
      </c>
      <c r="C17" s="3" t="s">
        <v>29</v>
      </c>
      <c r="D17" s="3" t="s">
        <v>38</v>
      </c>
      <c r="E17" s="2" t="s">
        <v>39</v>
      </c>
      <c r="F17" s="3" t="s">
        <v>19</v>
      </c>
      <c r="G17" s="3">
        <v>1</v>
      </c>
      <c r="H17" s="4">
        <v>0.5</v>
      </c>
      <c r="I17" s="3">
        <v>1</v>
      </c>
      <c r="J17" s="5">
        <v>1</v>
      </c>
      <c r="K17" s="6">
        <v>23.66</v>
      </c>
      <c r="L17" s="6">
        <v>23.66</v>
      </c>
    </row>
    <row r="18" spans="2:12" x14ac:dyDescent="0.35">
      <c r="B18" s="2" t="s">
        <v>1</v>
      </c>
      <c r="C18" s="3" t="s">
        <v>40</v>
      </c>
      <c r="D18" s="3" t="s">
        <v>41</v>
      </c>
      <c r="E18" s="2" t="s">
        <v>42</v>
      </c>
      <c r="F18" s="3" t="s">
        <v>19</v>
      </c>
      <c r="G18" s="3">
        <v>1</v>
      </c>
      <c r="H18" s="4">
        <v>0.5</v>
      </c>
      <c r="I18" s="3">
        <v>1</v>
      </c>
      <c r="J18" s="5">
        <v>1</v>
      </c>
      <c r="K18" s="6">
        <v>295.89</v>
      </c>
      <c r="L18" s="6">
        <v>295.89</v>
      </c>
    </row>
  </sheetData>
  <autoFilter ref="B6:L13" xr:uid="{00000000-0009-0000-0000-000000000000}"/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I10"/>
  <sheetViews>
    <sheetView showGridLines="0" workbookViewId="0">
      <selection activeCell="E17" sqref="E17"/>
    </sheetView>
  </sheetViews>
  <sheetFormatPr defaultRowHeight="14.5" x14ac:dyDescent="0.35"/>
  <cols>
    <col min="1" max="1" width="2.54296875" customWidth="1"/>
    <col min="2" max="3" width="20.7265625" customWidth="1"/>
    <col min="4" max="13" width="16.7265625" customWidth="1"/>
  </cols>
  <sheetData>
    <row r="6" spans="2:9" x14ac:dyDescent="0.35">
      <c r="B6" s="1" t="s">
        <v>43</v>
      </c>
      <c r="C6" s="1" t="s">
        <v>45</v>
      </c>
      <c r="D6" s="1" t="s">
        <v>47</v>
      </c>
      <c r="E6" s="1" t="s">
        <v>16</v>
      </c>
      <c r="F6" s="1" t="s">
        <v>3</v>
      </c>
      <c r="G6" s="1" t="s">
        <v>40</v>
      </c>
      <c r="H6" s="1" t="s">
        <v>29</v>
      </c>
      <c r="I6" s="1" t="s">
        <v>49</v>
      </c>
    </row>
    <row r="7" spans="2:9" x14ac:dyDescent="0.35">
      <c r="B7" s="3" t="s">
        <v>44</v>
      </c>
      <c r="C7" s="3" t="s">
        <v>46</v>
      </c>
      <c r="D7" s="3" t="s">
        <v>48</v>
      </c>
      <c r="E7" s="6">
        <v>572.05999999999995</v>
      </c>
      <c r="F7" s="6">
        <v>254.11</v>
      </c>
      <c r="G7" s="6"/>
      <c r="H7" s="6"/>
      <c r="I7" s="7">
        <v>826.17</v>
      </c>
    </row>
    <row r="8" spans="2:9" x14ac:dyDescent="0.35">
      <c r="B8" s="3" t="s">
        <v>44</v>
      </c>
      <c r="C8" s="3" t="s">
        <v>46</v>
      </c>
      <c r="D8" s="3" t="s">
        <v>50</v>
      </c>
      <c r="E8" s="6">
        <v>506.27</v>
      </c>
      <c r="F8" s="6">
        <v>127.05</v>
      </c>
      <c r="G8" s="6">
        <v>295.89</v>
      </c>
      <c r="H8" s="6">
        <v>63.63</v>
      </c>
      <c r="I8" s="7">
        <v>992.84</v>
      </c>
    </row>
    <row r="9" spans="2:9" x14ac:dyDescent="0.35">
      <c r="B9" s="7" t="s">
        <v>51</v>
      </c>
      <c r="C9" s="7"/>
      <c r="D9" s="7"/>
      <c r="E9" s="7">
        <v>539.16499999999996</v>
      </c>
      <c r="F9" s="7">
        <v>190.58</v>
      </c>
      <c r="G9" s="7">
        <v>295.89</v>
      </c>
      <c r="H9" s="7">
        <v>63.63</v>
      </c>
      <c r="I9" s="7">
        <v>909.505</v>
      </c>
    </row>
    <row r="10" spans="2:9" x14ac:dyDescent="0.35">
      <c r="B10" s="7" t="s">
        <v>52</v>
      </c>
      <c r="C10" s="7"/>
      <c r="D10" s="7"/>
      <c r="E10" s="7">
        <v>539.16499999999996</v>
      </c>
      <c r="F10" s="7">
        <v>190.58</v>
      </c>
      <c r="G10" s="7">
        <v>295.89</v>
      </c>
      <c r="H10" s="7">
        <v>63.63</v>
      </c>
      <c r="I10" s="7">
        <v>909.505</v>
      </c>
    </row>
  </sheetData>
  <autoFilter ref="B5:I6" xr:uid="{00000000-0009-0000-0000-000001000000}"/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W37"/>
  <sheetViews>
    <sheetView showGridLines="0" topLeftCell="N3" workbookViewId="0">
      <selection activeCell="P39" sqref="P39"/>
    </sheetView>
  </sheetViews>
  <sheetFormatPr defaultRowHeight="14.5" x14ac:dyDescent="0.35"/>
  <cols>
    <col min="1" max="1" width="2.54296875" customWidth="1"/>
    <col min="2" max="3" width="20.7265625" customWidth="1"/>
    <col min="4" max="8" width="13.7265625" customWidth="1"/>
    <col min="9" max="9" width="18.7265625" customWidth="1"/>
    <col min="10" max="10" width="9.7265625" customWidth="1"/>
    <col min="11" max="11" width="50.7265625" customWidth="1"/>
    <col min="12" max="13" width="18.7265625" customWidth="1"/>
    <col min="14" max="14" width="15.26953125" customWidth="1"/>
    <col min="15" max="15" width="12.7265625" customWidth="1"/>
    <col min="16" max="16" width="50.7265625" customWidth="1"/>
    <col min="17" max="17" width="19.7265625" customWidth="1"/>
    <col min="18" max="18" width="11.7265625" customWidth="1"/>
    <col min="19" max="19" width="50.7265625" customWidth="1"/>
    <col min="20" max="20" width="27.7265625" customWidth="1"/>
    <col min="21" max="22" width="10.7265625" customWidth="1"/>
  </cols>
  <sheetData>
    <row r="6" spans="2:23" x14ac:dyDescent="0.35">
      <c r="B6" s="1" t="s">
        <v>43</v>
      </c>
      <c r="C6" s="1" t="s">
        <v>45</v>
      </c>
      <c r="D6" s="1" t="s">
        <v>47</v>
      </c>
      <c r="E6" s="1" t="s">
        <v>53</v>
      </c>
      <c r="F6" s="1" t="s">
        <v>89</v>
      </c>
      <c r="G6" s="1" t="s">
        <v>85</v>
      </c>
      <c r="H6" s="1" t="s">
        <v>90</v>
      </c>
      <c r="I6" s="1" t="s">
        <v>0</v>
      </c>
      <c r="J6" s="1" t="s">
        <v>54</v>
      </c>
      <c r="K6" s="1" t="s">
        <v>56</v>
      </c>
      <c r="L6" s="1" t="s">
        <v>58</v>
      </c>
      <c r="M6" s="1" t="s">
        <v>60</v>
      </c>
      <c r="N6" s="1" t="s">
        <v>62</v>
      </c>
      <c r="O6" s="1" t="s">
        <v>64</v>
      </c>
      <c r="P6" s="1" t="s">
        <v>66</v>
      </c>
      <c r="Q6" s="1" t="s">
        <v>67</v>
      </c>
      <c r="R6" s="1" t="s">
        <v>4</v>
      </c>
      <c r="S6" s="1" t="s">
        <v>6</v>
      </c>
      <c r="T6" s="1" t="s">
        <v>8</v>
      </c>
      <c r="U6" s="1" t="s">
        <v>68</v>
      </c>
      <c r="V6" s="1" t="s">
        <v>69</v>
      </c>
      <c r="W6" s="1" t="s">
        <v>70</v>
      </c>
    </row>
    <row r="7" spans="2:23" x14ac:dyDescent="0.35">
      <c r="B7" s="3" t="s">
        <v>44</v>
      </c>
      <c r="C7" s="3" t="s">
        <v>46</v>
      </c>
      <c r="D7" s="3" t="s">
        <v>50</v>
      </c>
      <c r="E7" s="10">
        <v>2704750531</v>
      </c>
      <c r="F7" s="2">
        <v>8697458</v>
      </c>
      <c r="G7" s="2" t="s">
        <v>88</v>
      </c>
      <c r="H7" s="2" t="s">
        <v>86</v>
      </c>
      <c r="I7" s="2" t="s">
        <v>1</v>
      </c>
      <c r="J7" s="2" t="s">
        <v>55</v>
      </c>
      <c r="K7" s="3" t="s">
        <v>57</v>
      </c>
      <c r="L7" s="3" t="s">
        <v>59</v>
      </c>
      <c r="M7" s="3" t="s">
        <v>61</v>
      </c>
      <c r="N7" s="3" t="s">
        <v>63</v>
      </c>
      <c r="O7" s="2" t="s">
        <v>65</v>
      </c>
      <c r="P7" s="3" t="s">
        <v>57</v>
      </c>
      <c r="Q7" s="3" t="s">
        <v>40</v>
      </c>
      <c r="R7" s="2" t="s">
        <v>41</v>
      </c>
      <c r="S7" s="3" t="s">
        <v>42</v>
      </c>
      <c r="T7" s="3" t="s">
        <v>19</v>
      </c>
      <c r="U7" s="5">
        <v>1</v>
      </c>
      <c r="V7" s="3">
        <v>295.89</v>
      </c>
      <c r="W7" s="3" t="s">
        <v>5</v>
      </c>
    </row>
    <row r="8" spans="2:23" x14ac:dyDescent="0.35">
      <c r="B8" s="3" t="s">
        <v>44</v>
      </c>
      <c r="C8" s="3" t="s">
        <v>46</v>
      </c>
      <c r="D8" s="3" t="s">
        <v>50</v>
      </c>
      <c r="E8" s="10">
        <v>2705862478</v>
      </c>
      <c r="F8" s="2">
        <v>8697458</v>
      </c>
      <c r="G8" s="2" t="s">
        <v>88</v>
      </c>
      <c r="H8" s="2" t="s">
        <v>86</v>
      </c>
      <c r="I8" s="2" t="s">
        <v>1</v>
      </c>
      <c r="J8" s="2" t="s">
        <v>55</v>
      </c>
      <c r="K8" s="3" t="s">
        <v>57</v>
      </c>
      <c r="L8" s="3" t="s">
        <v>59</v>
      </c>
      <c r="M8" s="3" t="s">
        <v>61</v>
      </c>
      <c r="N8" s="3" t="s">
        <v>63</v>
      </c>
      <c r="O8" s="2" t="s">
        <v>65</v>
      </c>
      <c r="P8" s="3" t="s">
        <v>57</v>
      </c>
      <c r="Q8" s="3" t="s">
        <v>29</v>
      </c>
      <c r="R8" s="2" t="s">
        <v>36</v>
      </c>
      <c r="S8" s="3" t="s">
        <v>37</v>
      </c>
      <c r="T8" s="3" t="s">
        <v>19</v>
      </c>
      <c r="U8" s="5">
        <v>1</v>
      </c>
      <c r="V8" s="3">
        <v>2.76</v>
      </c>
      <c r="W8" s="3" t="s">
        <v>5</v>
      </c>
    </row>
    <row r="9" spans="2:23" x14ac:dyDescent="0.35">
      <c r="B9" s="3" t="s">
        <v>44</v>
      </c>
      <c r="C9" s="3" t="s">
        <v>46</v>
      </c>
      <c r="D9" s="3" t="s">
        <v>48</v>
      </c>
      <c r="E9" s="10">
        <v>2701849184</v>
      </c>
      <c r="F9" s="2">
        <v>6709617</v>
      </c>
      <c r="G9" s="2" t="s">
        <v>87</v>
      </c>
      <c r="H9" s="2" t="s">
        <v>86</v>
      </c>
      <c r="I9" s="2" t="s">
        <v>1</v>
      </c>
      <c r="J9" s="2" t="s">
        <v>71</v>
      </c>
      <c r="K9" s="3" t="s">
        <v>72</v>
      </c>
      <c r="L9" s="3" t="s">
        <v>73</v>
      </c>
      <c r="M9" s="3" t="s">
        <v>74</v>
      </c>
      <c r="N9" s="3" t="s">
        <v>75</v>
      </c>
      <c r="O9" s="2" t="s">
        <v>76</v>
      </c>
      <c r="P9" s="3" t="s">
        <v>77</v>
      </c>
      <c r="Q9" s="3" t="s">
        <v>3</v>
      </c>
      <c r="R9" s="2" t="s">
        <v>27</v>
      </c>
      <c r="S9" s="3" t="s">
        <v>28</v>
      </c>
      <c r="T9" s="3" t="s">
        <v>9</v>
      </c>
      <c r="U9" s="5">
        <v>1</v>
      </c>
      <c r="V9" s="3">
        <v>127.05</v>
      </c>
      <c r="W9" s="3" t="s">
        <v>5</v>
      </c>
    </row>
    <row r="10" spans="2:23" x14ac:dyDescent="0.35">
      <c r="B10" s="3" t="s">
        <v>44</v>
      </c>
      <c r="C10" s="3" t="s">
        <v>46</v>
      </c>
      <c r="D10" s="3" t="s">
        <v>50</v>
      </c>
      <c r="E10" s="10">
        <v>2705862480</v>
      </c>
      <c r="F10" s="2">
        <v>8697458</v>
      </c>
      <c r="G10" s="2" t="s">
        <v>88</v>
      </c>
      <c r="H10" s="2" t="s">
        <v>86</v>
      </c>
      <c r="I10" s="2" t="s">
        <v>1</v>
      </c>
      <c r="J10" s="2" t="s">
        <v>55</v>
      </c>
      <c r="K10" s="3" t="s">
        <v>57</v>
      </c>
      <c r="L10" s="3" t="s">
        <v>59</v>
      </c>
      <c r="M10" s="3" t="s">
        <v>61</v>
      </c>
      <c r="N10" s="3" t="s">
        <v>63</v>
      </c>
      <c r="O10" s="2" t="s">
        <v>65</v>
      </c>
      <c r="P10" s="3" t="s">
        <v>57</v>
      </c>
      <c r="Q10" s="3" t="s">
        <v>29</v>
      </c>
      <c r="R10" s="2" t="s">
        <v>34</v>
      </c>
      <c r="S10" s="3" t="s">
        <v>35</v>
      </c>
      <c r="T10" s="3" t="s">
        <v>19</v>
      </c>
      <c r="U10" s="5">
        <v>1</v>
      </c>
      <c r="V10" s="3">
        <v>9.4</v>
      </c>
      <c r="W10" s="3" t="s">
        <v>5</v>
      </c>
    </row>
    <row r="11" spans="2:23" x14ac:dyDescent="0.35">
      <c r="B11" s="3" t="s">
        <v>44</v>
      </c>
      <c r="C11" s="3" t="s">
        <v>46</v>
      </c>
      <c r="D11" s="3" t="s">
        <v>50</v>
      </c>
      <c r="E11" s="10">
        <v>2705862482</v>
      </c>
      <c r="F11" s="2">
        <v>8697458</v>
      </c>
      <c r="G11" s="2" t="s">
        <v>88</v>
      </c>
      <c r="H11" s="2" t="s">
        <v>86</v>
      </c>
      <c r="I11" s="2" t="s">
        <v>1</v>
      </c>
      <c r="J11" s="2" t="s">
        <v>55</v>
      </c>
      <c r="K11" s="3" t="s">
        <v>57</v>
      </c>
      <c r="L11" s="3" t="s">
        <v>59</v>
      </c>
      <c r="M11" s="3" t="s">
        <v>61</v>
      </c>
      <c r="N11" s="3" t="s">
        <v>63</v>
      </c>
      <c r="O11" s="2" t="s">
        <v>65</v>
      </c>
      <c r="P11" s="3" t="s">
        <v>57</v>
      </c>
      <c r="Q11" s="3" t="s">
        <v>29</v>
      </c>
      <c r="R11" s="2" t="s">
        <v>32</v>
      </c>
      <c r="S11" s="3" t="s">
        <v>33</v>
      </c>
      <c r="T11" s="3" t="s">
        <v>19</v>
      </c>
      <c r="U11" s="5">
        <v>1</v>
      </c>
      <c r="V11" s="3">
        <v>4.16</v>
      </c>
      <c r="W11" s="3" t="s">
        <v>5</v>
      </c>
    </row>
    <row r="12" spans="2:23" x14ac:dyDescent="0.35">
      <c r="B12" s="3" t="s">
        <v>44</v>
      </c>
      <c r="C12" s="3" t="s">
        <v>46</v>
      </c>
      <c r="D12" s="3" t="s">
        <v>50</v>
      </c>
      <c r="E12" s="10">
        <v>2705862483</v>
      </c>
      <c r="F12" s="2">
        <v>8697458</v>
      </c>
      <c r="G12" s="2" t="s">
        <v>88</v>
      </c>
      <c r="H12" s="2" t="s">
        <v>86</v>
      </c>
      <c r="I12" s="2" t="s">
        <v>1</v>
      </c>
      <c r="J12" s="2" t="s">
        <v>55</v>
      </c>
      <c r="K12" s="3" t="s">
        <v>57</v>
      </c>
      <c r="L12" s="3" t="s">
        <v>59</v>
      </c>
      <c r="M12" s="3" t="s">
        <v>61</v>
      </c>
      <c r="N12" s="3" t="s">
        <v>63</v>
      </c>
      <c r="O12" s="2" t="s">
        <v>65</v>
      </c>
      <c r="P12" s="3" t="s">
        <v>57</v>
      </c>
      <c r="Q12" s="3" t="s">
        <v>29</v>
      </c>
      <c r="R12" s="2" t="s">
        <v>38</v>
      </c>
      <c r="S12" s="3" t="s">
        <v>39</v>
      </c>
      <c r="T12" s="3" t="s">
        <v>19</v>
      </c>
      <c r="U12" s="5">
        <v>1</v>
      </c>
      <c r="V12" s="3">
        <v>23.66</v>
      </c>
      <c r="W12" s="3" t="s">
        <v>5</v>
      </c>
    </row>
    <row r="13" spans="2:23" x14ac:dyDescent="0.35">
      <c r="B13" s="3" t="s">
        <v>44</v>
      </c>
      <c r="C13" s="3" t="s">
        <v>46</v>
      </c>
      <c r="D13" s="3" t="s">
        <v>50</v>
      </c>
      <c r="E13" s="10">
        <v>2705862485</v>
      </c>
      <c r="F13" s="2">
        <v>8697458</v>
      </c>
      <c r="G13" s="2" t="s">
        <v>88</v>
      </c>
      <c r="H13" s="2" t="s">
        <v>86</v>
      </c>
      <c r="I13" s="2" t="s">
        <v>1</v>
      </c>
      <c r="J13" s="2" t="s">
        <v>55</v>
      </c>
      <c r="K13" s="3" t="s">
        <v>57</v>
      </c>
      <c r="L13" s="3" t="s">
        <v>59</v>
      </c>
      <c r="M13" s="3" t="s">
        <v>61</v>
      </c>
      <c r="N13" s="3" t="s">
        <v>63</v>
      </c>
      <c r="O13" s="2" t="s">
        <v>65</v>
      </c>
      <c r="P13" s="3" t="s">
        <v>57</v>
      </c>
      <c r="Q13" s="3" t="s">
        <v>29</v>
      </c>
      <c r="R13" s="2" t="s">
        <v>30</v>
      </c>
      <c r="S13" s="3" t="s">
        <v>31</v>
      </c>
      <c r="T13" s="3" t="s">
        <v>19</v>
      </c>
      <c r="U13" s="5">
        <v>1</v>
      </c>
      <c r="V13" s="3">
        <v>23.65</v>
      </c>
      <c r="W13" s="3" t="s">
        <v>5</v>
      </c>
    </row>
    <row r="14" spans="2:23" x14ac:dyDescent="0.35">
      <c r="B14" s="3" t="s">
        <v>44</v>
      </c>
      <c r="C14" s="3" t="s">
        <v>46</v>
      </c>
      <c r="D14" s="3" t="s">
        <v>50</v>
      </c>
      <c r="E14" s="10">
        <v>2705205323</v>
      </c>
      <c r="F14" s="2">
        <v>8697458</v>
      </c>
      <c r="G14" s="2" t="s">
        <v>88</v>
      </c>
      <c r="H14" s="2" t="s">
        <v>86</v>
      </c>
      <c r="I14" s="2" t="s">
        <v>1</v>
      </c>
      <c r="J14" s="2" t="s">
        <v>55</v>
      </c>
      <c r="K14" s="3" t="s">
        <v>57</v>
      </c>
      <c r="L14" s="3" t="s">
        <v>78</v>
      </c>
      <c r="M14" s="3" t="s">
        <v>79</v>
      </c>
      <c r="N14" s="3" t="s">
        <v>63</v>
      </c>
      <c r="O14" s="2" t="s">
        <v>80</v>
      </c>
      <c r="P14" s="3" t="s">
        <v>81</v>
      </c>
      <c r="Q14" s="3" t="s">
        <v>16</v>
      </c>
      <c r="R14" s="2" t="s">
        <v>22</v>
      </c>
      <c r="S14" s="3" t="s">
        <v>23</v>
      </c>
      <c r="T14" s="3" t="s">
        <v>19</v>
      </c>
      <c r="U14" s="5">
        <v>1</v>
      </c>
      <c r="V14" s="3">
        <v>152.37</v>
      </c>
      <c r="W14" s="3" t="s">
        <v>5</v>
      </c>
    </row>
    <row r="15" spans="2:23" x14ac:dyDescent="0.35">
      <c r="B15" s="3" t="s">
        <v>44</v>
      </c>
      <c r="C15" s="3" t="s">
        <v>46</v>
      </c>
      <c r="D15" s="3" t="s">
        <v>48</v>
      </c>
      <c r="E15" s="10">
        <v>2701849184</v>
      </c>
      <c r="F15" s="2">
        <v>6709617</v>
      </c>
      <c r="G15" s="2" t="s">
        <v>87</v>
      </c>
      <c r="H15" s="2" t="s">
        <v>86</v>
      </c>
      <c r="I15" s="2" t="s">
        <v>1</v>
      </c>
      <c r="J15" s="2" t="s">
        <v>71</v>
      </c>
      <c r="K15" s="3" t="s">
        <v>72</v>
      </c>
      <c r="L15" s="3" t="s">
        <v>73</v>
      </c>
      <c r="M15" s="3" t="s">
        <v>74</v>
      </c>
      <c r="N15" s="3" t="s">
        <v>75</v>
      </c>
      <c r="O15" s="2" t="s">
        <v>76</v>
      </c>
      <c r="P15" s="3" t="s">
        <v>77</v>
      </c>
      <c r="Q15" s="3" t="s">
        <v>3</v>
      </c>
      <c r="R15" s="2" t="s">
        <v>27</v>
      </c>
      <c r="S15" s="3" t="s">
        <v>28</v>
      </c>
      <c r="T15" s="3" t="s">
        <v>9</v>
      </c>
      <c r="U15" s="5">
        <v>1</v>
      </c>
      <c r="V15" s="3">
        <v>63.53</v>
      </c>
      <c r="W15" s="3" t="s">
        <v>5</v>
      </c>
    </row>
    <row r="16" spans="2:23" x14ac:dyDescent="0.35">
      <c r="B16" s="3" t="s">
        <v>44</v>
      </c>
      <c r="C16" s="3" t="s">
        <v>46</v>
      </c>
      <c r="D16" s="3" t="s">
        <v>48</v>
      </c>
      <c r="E16" s="10">
        <v>2701849184</v>
      </c>
      <c r="F16" s="2">
        <v>6709617</v>
      </c>
      <c r="G16" s="2" t="s">
        <v>87</v>
      </c>
      <c r="H16" s="2" t="s">
        <v>86</v>
      </c>
      <c r="I16" s="2" t="s">
        <v>1</v>
      </c>
      <c r="J16" s="2" t="s">
        <v>71</v>
      </c>
      <c r="K16" s="3" t="s">
        <v>72</v>
      </c>
      <c r="L16" s="3" t="s">
        <v>73</v>
      </c>
      <c r="M16" s="3" t="s">
        <v>74</v>
      </c>
      <c r="N16" s="3" t="s">
        <v>63</v>
      </c>
      <c r="O16" s="2" t="s">
        <v>82</v>
      </c>
      <c r="P16" s="3" t="s">
        <v>72</v>
      </c>
      <c r="Q16" s="3" t="s">
        <v>16</v>
      </c>
      <c r="R16" s="2" t="s">
        <v>17</v>
      </c>
      <c r="S16" s="3" t="s">
        <v>18</v>
      </c>
      <c r="T16" s="3" t="s">
        <v>19</v>
      </c>
      <c r="U16" s="5">
        <v>1</v>
      </c>
      <c r="V16" s="3">
        <v>572.05999999999995</v>
      </c>
      <c r="W16" s="3" t="s">
        <v>5</v>
      </c>
    </row>
    <row r="17" spans="2:23" x14ac:dyDescent="0.35">
      <c r="B17" s="3" t="s">
        <v>44</v>
      </c>
      <c r="C17" s="3" t="s">
        <v>46</v>
      </c>
      <c r="D17" s="3" t="s">
        <v>50</v>
      </c>
      <c r="E17" s="10">
        <v>2705205323</v>
      </c>
      <c r="F17" s="2">
        <v>8697458</v>
      </c>
      <c r="G17" s="2" t="s">
        <v>88</v>
      </c>
      <c r="H17" s="2" t="s">
        <v>86</v>
      </c>
      <c r="I17" s="2" t="s">
        <v>1</v>
      </c>
      <c r="J17" s="2" t="s">
        <v>55</v>
      </c>
      <c r="K17" s="3" t="s">
        <v>57</v>
      </c>
      <c r="L17" s="3" t="s">
        <v>78</v>
      </c>
      <c r="M17" s="3" t="s">
        <v>79</v>
      </c>
      <c r="N17" s="3" t="s">
        <v>63</v>
      </c>
      <c r="O17" s="2" t="s">
        <v>80</v>
      </c>
      <c r="P17" s="3" t="s">
        <v>81</v>
      </c>
      <c r="Q17" s="3" t="s">
        <v>16</v>
      </c>
      <c r="R17" s="2" t="s">
        <v>20</v>
      </c>
      <c r="S17" s="3" t="s">
        <v>21</v>
      </c>
      <c r="T17" s="3" t="s">
        <v>19</v>
      </c>
      <c r="U17" s="5">
        <v>1</v>
      </c>
      <c r="V17" s="3">
        <v>353.9</v>
      </c>
      <c r="W17" s="3" t="s">
        <v>5</v>
      </c>
    </row>
    <row r="18" spans="2:23" x14ac:dyDescent="0.35">
      <c r="B18" s="3" t="s">
        <v>44</v>
      </c>
      <c r="C18" s="3" t="s">
        <v>46</v>
      </c>
      <c r="D18" s="3" t="s">
        <v>50</v>
      </c>
      <c r="E18" s="10">
        <v>2705205323</v>
      </c>
      <c r="F18" s="2">
        <v>8697458</v>
      </c>
      <c r="G18" s="2" t="s">
        <v>88</v>
      </c>
      <c r="H18" s="2" t="s">
        <v>86</v>
      </c>
      <c r="I18" s="2" t="s">
        <v>1</v>
      </c>
      <c r="J18" s="2" t="s">
        <v>55</v>
      </c>
      <c r="K18" s="3" t="s">
        <v>57</v>
      </c>
      <c r="L18" s="3" t="s">
        <v>78</v>
      </c>
      <c r="M18" s="3" t="s">
        <v>79</v>
      </c>
      <c r="N18" s="3" t="s">
        <v>63</v>
      </c>
      <c r="O18" s="2" t="s">
        <v>80</v>
      </c>
      <c r="P18" s="3" t="s">
        <v>81</v>
      </c>
      <c r="Q18" s="3" t="s">
        <v>3</v>
      </c>
      <c r="R18" s="2" t="s">
        <v>24</v>
      </c>
      <c r="S18" s="3" t="s">
        <v>25</v>
      </c>
      <c r="T18" s="3" t="s">
        <v>26</v>
      </c>
      <c r="U18" s="5">
        <v>1</v>
      </c>
      <c r="V18" s="3">
        <v>0</v>
      </c>
      <c r="W18" s="3" t="s">
        <v>5</v>
      </c>
    </row>
    <row r="19" spans="2:23" x14ac:dyDescent="0.35">
      <c r="B19" s="3" t="s">
        <v>44</v>
      </c>
      <c r="C19" s="3" t="s">
        <v>46</v>
      </c>
      <c r="D19" s="3" t="s">
        <v>48</v>
      </c>
      <c r="E19" s="10">
        <v>2701849184</v>
      </c>
      <c r="F19" s="2">
        <v>6709617</v>
      </c>
      <c r="G19" s="2" t="s">
        <v>87</v>
      </c>
      <c r="H19" s="2" t="s">
        <v>86</v>
      </c>
      <c r="I19" s="2" t="s">
        <v>1</v>
      </c>
      <c r="J19" s="2" t="s">
        <v>71</v>
      </c>
      <c r="K19" s="3" t="s">
        <v>72</v>
      </c>
      <c r="L19" s="3" t="s">
        <v>73</v>
      </c>
      <c r="M19" s="3" t="s">
        <v>74</v>
      </c>
      <c r="N19" s="3" t="s">
        <v>75</v>
      </c>
      <c r="O19" s="2" t="s">
        <v>76</v>
      </c>
      <c r="P19" s="3" t="s">
        <v>77</v>
      </c>
      <c r="Q19" s="3" t="s">
        <v>3</v>
      </c>
      <c r="R19" s="2" t="s">
        <v>5</v>
      </c>
      <c r="S19" s="3" t="s">
        <v>7</v>
      </c>
      <c r="T19" s="3" t="s">
        <v>9</v>
      </c>
      <c r="U19" s="5">
        <v>1</v>
      </c>
      <c r="V19" s="3">
        <v>63.53</v>
      </c>
      <c r="W19" s="3" t="s">
        <v>5</v>
      </c>
    </row>
    <row r="20" spans="2:23" x14ac:dyDescent="0.35">
      <c r="B20" s="3" t="s">
        <v>44</v>
      </c>
      <c r="C20" s="3" t="s">
        <v>46</v>
      </c>
      <c r="D20" s="3" t="s">
        <v>50</v>
      </c>
      <c r="E20" s="10">
        <v>2704750531</v>
      </c>
      <c r="F20" s="2">
        <v>8697458</v>
      </c>
      <c r="G20" s="2" t="s">
        <v>88</v>
      </c>
      <c r="H20" s="2" t="s">
        <v>86</v>
      </c>
      <c r="I20" s="2" t="s">
        <v>1</v>
      </c>
      <c r="J20" s="2" t="s">
        <v>55</v>
      </c>
      <c r="K20" s="3" t="s">
        <v>57</v>
      </c>
      <c r="L20" s="3" t="s">
        <v>59</v>
      </c>
      <c r="M20" s="3" t="s">
        <v>61</v>
      </c>
      <c r="N20" s="3" t="s">
        <v>75</v>
      </c>
      <c r="O20" s="2" t="s">
        <v>83</v>
      </c>
      <c r="P20" s="3" t="s">
        <v>84</v>
      </c>
      <c r="Q20" s="3" t="s">
        <v>3</v>
      </c>
      <c r="R20" s="2" t="s">
        <v>5</v>
      </c>
      <c r="S20" s="3" t="s">
        <v>7</v>
      </c>
      <c r="T20" s="3" t="s">
        <v>9</v>
      </c>
      <c r="U20" s="5">
        <v>1</v>
      </c>
      <c r="V20" s="3">
        <v>127.05</v>
      </c>
      <c r="W20" s="3" t="s">
        <v>5</v>
      </c>
    </row>
    <row r="25" spans="2:23" x14ac:dyDescent="0.35">
      <c r="K25" s="8"/>
      <c r="L25" s="8"/>
      <c r="M25" s="8"/>
      <c r="N25" s="8"/>
      <c r="O25" s="8"/>
      <c r="P25" s="8"/>
      <c r="Q25" s="8"/>
      <c r="R25" s="8"/>
      <c r="S25" s="8"/>
    </row>
    <row r="26" spans="2:23" x14ac:dyDescent="0.35">
      <c r="K26" s="9"/>
      <c r="L26" s="9"/>
      <c r="M26" s="9"/>
      <c r="N26" s="9"/>
      <c r="O26" s="9"/>
      <c r="P26" s="9"/>
      <c r="Q26" s="9"/>
      <c r="R26" s="9"/>
      <c r="S26" s="9"/>
    </row>
    <row r="27" spans="2:23" x14ac:dyDescent="0.35">
      <c r="K27" s="9"/>
      <c r="L27" s="8"/>
      <c r="M27" s="8"/>
      <c r="N27" s="8"/>
      <c r="O27" s="8"/>
      <c r="P27" s="8"/>
      <c r="Q27" s="8"/>
      <c r="R27" s="8"/>
      <c r="S27" s="8"/>
    </row>
    <row r="28" spans="2:23" x14ac:dyDescent="0.35">
      <c r="K28" s="9"/>
      <c r="L28" s="8"/>
      <c r="M28" s="8"/>
      <c r="N28" s="8"/>
      <c r="O28" s="8"/>
      <c r="P28" s="8"/>
      <c r="Q28" s="8"/>
      <c r="R28" s="8"/>
      <c r="S28" s="8"/>
    </row>
    <row r="29" spans="2:23" x14ac:dyDescent="0.35">
      <c r="K29" s="9"/>
      <c r="L29" s="8"/>
      <c r="M29" s="8"/>
      <c r="N29" s="8"/>
      <c r="O29" s="8"/>
      <c r="P29" s="8"/>
      <c r="Q29" s="8"/>
      <c r="R29" s="8"/>
      <c r="S29" s="8"/>
    </row>
    <row r="30" spans="2:23" x14ac:dyDescent="0.35">
      <c r="K30" s="9"/>
      <c r="L30" s="8"/>
      <c r="M30" s="8"/>
      <c r="N30" s="8"/>
      <c r="O30" s="8"/>
      <c r="P30" s="8"/>
      <c r="Q30" s="8"/>
      <c r="R30" s="8"/>
      <c r="S30" s="8"/>
    </row>
    <row r="31" spans="2:23" x14ac:dyDescent="0.35">
      <c r="K31" s="9"/>
      <c r="L31" s="8"/>
      <c r="M31" s="8"/>
      <c r="N31" s="8"/>
      <c r="O31" s="8"/>
      <c r="P31" s="8"/>
      <c r="Q31" s="8"/>
      <c r="R31" s="8"/>
      <c r="S31" s="8"/>
    </row>
    <row r="32" spans="2:23" x14ac:dyDescent="0.35">
      <c r="K32" s="9"/>
      <c r="L32" s="8"/>
      <c r="M32" s="8"/>
      <c r="N32" s="8"/>
      <c r="O32" s="8"/>
      <c r="P32" s="8"/>
      <c r="Q32" s="8"/>
      <c r="R32" s="8"/>
      <c r="S32" s="8"/>
    </row>
    <row r="33" spans="11:19" x14ac:dyDescent="0.35">
      <c r="K33" s="9"/>
      <c r="L33" s="8"/>
      <c r="M33" s="8"/>
      <c r="N33" s="8"/>
      <c r="O33" s="8"/>
      <c r="P33" s="8"/>
      <c r="Q33" s="8"/>
      <c r="R33" s="8"/>
      <c r="S33" s="8"/>
    </row>
    <row r="34" spans="11:19" x14ac:dyDescent="0.35">
      <c r="K34" s="8"/>
      <c r="L34" s="8"/>
      <c r="M34" s="8"/>
      <c r="N34" s="8"/>
      <c r="O34" s="8"/>
      <c r="P34" s="8"/>
      <c r="Q34" s="8"/>
      <c r="R34" s="8"/>
      <c r="S34" s="8"/>
    </row>
    <row r="35" spans="11:19" x14ac:dyDescent="0.35">
      <c r="K35" s="8"/>
      <c r="L35" s="8"/>
      <c r="M35" s="8"/>
      <c r="N35" s="8"/>
      <c r="O35" s="8"/>
      <c r="P35" s="8"/>
      <c r="Q35" s="8"/>
      <c r="R35" s="8"/>
      <c r="S35" s="8"/>
    </row>
    <row r="36" spans="11:19" x14ac:dyDescent="0.35">
      <c r="K36" s="8"/>
      <c r="L36" s="8"/>
      <c r="M36" s="8"/>
      <c r="N36" s="8"/>
      <c r="O36" s="8"/>
      <c r="P36" s="8"/>
      <c r="Q36" s="8"/>
      <c r="R36" s="8"/>
      <c r="S36" s="8"/>
    </row>
    <row r="37" spans="11:19" x14ac:dyDescent="0.35">
      <c r="K37" s="8"/>
      <c r="L37" s="8"/>
      <c r="M37" s="8"/>
      <c r="N37" s="8"/>
      <c r="O37" s="8"/>
      <c r="P37" s="8"/>
      <c r="Q37" s="8"/>
      <c r="R37" s="8"/>
      <c r="S37" s="8"/>
    </row>
  </sheetData>
  <autoFilter ref="B6:W20" xr:uid="{00000000-0009-0000-0000-000002000000}"/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23A7-9757-4B68-9EF0-93B0451C57F6}">
  <dimension ref="A3:E18"/>
  <sheetViews>
    <sheetView showGridLines="0" tabSelected="1" workbookViewId="0">
      <selection activeCell="Q13" sqref="Q13"/>
    </sheetView>
  </sheetViews>
  <sheetFormatPr defaultRowHeight="14.5" x14ac:dyDescent="0.35"/>
  <cols>
    <col min="1" max="5" width="13.90625" customWidth="1"/>
  </cols>
  <sheetData>
    <row r="3" spans="1:5" x14ac:dyDescent="0.35">
      <c r="A3" s="12" t="s">
        <v>91</v>
      </c>
      <c r="D3" s="12" t="s">
        <v>90</v>
      </c>
    </row>
    <row r="4" spans="1:5" x14ac:dyDescent="0.35">
      <c r="A4" s="12" t="s">
        <v>89</v>
      </c>
      <c r="B4" s="12" t="s">
        <v>85</v>
      </c>
      <c r="C4" s="12" t="s">
        <v>4</v>
      </c>
      <c r="D4" t="s">
        <v>86</v>
      </c>
      <c r="E4" t="s">
        <v>92</v>
      </c>
    </row>
    <row r="5" spans="1:5" x14ac:dyDescent="0.35">
      <c r="A5" s="14">
        <v>6709617</v>
      </c>
      <c r="B5" s="13" t="s">
        <v>87</v>
      </c>
      <c r="C5" t="s">
        <v>5</v>
      </c>
      <c r="D5" s="11">
        <v>1</v>
      </c>
      <c r="E5" s="11">
        <v>1</v>
      </c>
    </row>
    <row r="6" spans="1:5" x14ac:dyDescent="0.35">
      <c r="A6" s="14"/>
      <c r="B6" s="13"/>
      <c r="C6" t="s">
        <v>27</v>
      </c>
      <c r="D6" s="11">
        <v>1</v>
      </c>
      <c r="E6" s="11">
        <v>1</v>
      </c>
    </row>
    <row r="7" spans="1:5" x14ac:dyDescent="0.35">
      <c r="A7" s="14"/>
      <c r="B7" s="13"/>
      <c r="C7" t="s">
        <v>17</v>
      </c>
      <c r="D7" s="11">
        <v>1</v>
      </c>
      <c r="E7" s="11">
        <v>1</v>
      </c>
    </row>
    <row r="8" spans="1:5" x14ac:dyDescent="0.35">
      <c r="A8" s="14">
        <v>8697458</v>
      </c>
      <c r="B8" s="13" t="s">
        <v>88</v>
      </c>
      <c r="C8" t="s">
        <v>24</v>
      </c>
      <c r="D8" s="11">
        <v>1</v>
      </c>
      <c r="E8" s="11">
        <v>1</v>
      </c>
    </row>
    <row r="9" spans="1:5" x14ac:dyDescent="0.35">
      <c r="A9" s="14"/>
      <c r="B9" s="13"/>
      <c r="C9" t="s">
        <v>5</v>
      </c>
      <c r="D9" s="11">
        <v>1</v>
      </c>
      <c r="E9" s="11">
        <v>1</v>
      </c>
    </row>
    <row r="10" spans="1:5" x14ac:dyDescent="0.35">
      <c r="B10" s="13"/>
      <c r="C10" t="s">
        <v>30</v>
      </c>
      <c r="D10" s="11">
        <v>1</v>
      </c>
      <c r="E10" s="11">
        <v>1</v>
      </c>
    </row>
    <row r="11" spans="1:5" x14ac:dyDescent="0.35">
      <c r="C11" t="s">
        <v>32</v>
      </c>
      <c r="D11" s="11">
        <v>1</v>
      </c>
      <c r="E11" s="11">
        <v>1</v>
      </c>
    </row>
    <row r="12" spans="1:5" x14ac:dyDescent="0.35">
      <c r="C12" t="s">
        <v>34</v>
      </c>
      <c r="D12" s="11">
        <v>1</v>
      </c>
      <c r="E12" s="11">
        <v>1</v>
      </c>
    </row>
    <row r="13" spans="1:5" x14ac:dyDescent="0.35">
      <c r="C13" t="s">
        <v>36</v>
      </c>
      <c r="D13" s="11">
        <v>1</v>
      </c>
      <c r="E13" s="11">
        <v>1</v>
      </c>
    </row>
    <row r="14" spans="1:5" x14ac:dyDescent="0.35">
      <c r="C14" t="s">
        <v>38</v>
      </c>
      <c r="D14" s="11">
        <v>1</v>
      </c>
      <c r="E14" s="11">
        <v>1</v>
      </c>
    </row>
    <row r="15" spans="1:5" x14ac:dyDescent="0.35">
      <c r="C15" t="s">
        <v>41</v>
      </c>
      <c r="D15" s="11">
        <v>1</v>
      </c>
      <c r="E15" s="11">
        <v>1</v>
      </c>
    </row>
    <row r="16" spans="1:5" x14ac:dyDescent="0.35">
      <c r="C16" t="s">
        <v>20</v>
      </c>
      <c r="D16" s="11">
        <v>1</v>
      </c>
      <c r="E16" s="11">
        <v>1</v>
      </c>
    </row>
    <row r="17" spans="1:5" x14ac:dyDescent="0.35">
      <c r="C17" t="s">
        <v>22</v>
      </c>
      <c r="D17" s="11">
        <v>1</v>
      </c>
      <c r="E17" s="11">
        <v>1</v>
      </c>
    </row>
    <row r="18" spans="1:5" x14ac:dyDescent="0.35">
      <c r="A18" t="s">
        <v>92</v>
      </c>
      <c r="D18" s="11">
        <v>2</v>
      </c>
      <c r="E18" s="11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MAPA - 30909031</vt:lpstr>
      <vt:lpstr>CM - 30909031</vt:lpstr>
      <vt:lpstr>BASE</vt:lpstr>
      <vt:lpstr>Dinamica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Mendes Oliveira</cp:lastModifiedBy>
  <dcterms:created xsi:type="dcterms:W3CDTF">2024-08-05T12:04:45Z</dcterms:created>
  <dcterms:modified xsi:type="dcterms:W3CDTF">2024-08-07T20:53:52Z</dcterms:modified>
</cp:coreProperties>
</file>