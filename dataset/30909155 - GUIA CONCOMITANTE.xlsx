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"/>
    </mc:Choice>
  </mc:AlternateContent>
  <xr:revisionPtr revIDLastSave="0" documentId="13_ncr:1_{52685041-304F-4B29-BA68-E8DFD9030905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0909155" sheetId="1" r:id="rId1"/>
    <sheet name="CM - 30909155" sheetId="2" r:id="rId2"/>
    <sheet name="BASE" sheetId="3" r:id="rId3"/>
    <sheet name="Painel" sheetId="4" r:id="rId4"/>
  </sheets>
  <definedNames>
    <definedName name="_xlnm._FilterDatabase" localSheetId="2" hidden="1">BASE!$B$5:$W$6</definedName>
    <definedName name="_xlnm._FilterDatabase" localSheetId="1" hidden="1">'CM - 30909155'!$B$4:$G$6</definedName>
    <definedName name="_xlnm._FilterDatabase" localSheetId="0" hidden="1">'MAPA - 30909155'!$B$4:$L$6</definedName>
    <definedName name="_xlcn.WorksheetConnection_BASEB6T101" hidden="1">BASE!$B$6:$W$10</definedName>
  </definedNames>
  <calcPr calcId="124519"/>
  <pivotCaches>
    <pivotCache cacheId="27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T$10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0E6E9A-AD10-4F5A-9955-95F0294CE38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7A59655-EC8C-4C91-BFDB-DA7D932449CD}" name="WorksheetConnection_BASE!$B$6:$T$10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T101"/>
        </x15:connection>
      </ext>
    </extLst>
  </connection>
</connections>
</file>

<file path=xl/sharedStrings.xml><?xml version="1.0" encoding="utf-8"?>
<sst xmlns="http://schemas.openxmlformats.org/spreadsheetml/2006/main" count="147" uniqueCount="59">
  <si>
    <t>Tipo Lançamento</t>
  </si>
  <si>
    <t>PRODUCAO MEDICA</t>
  </si>
  <si>
    <t>Cód. Tipo Prod Méd.</t>
  </si>
  <si>
    <t>GABARI</t>
  </si>
  <si>
    <t>Cód. Serviço</t>
  </si>
  <si>
    <t>98000363</t>
  </si>
  <si>
    <t>Descr. Serviço</t>
  </si>
  <si>
    <t>HEMODIAFILTRACAO ONLINE (HDF-OL) - GRUPO DA VITA</t>
  </si>
  <si>
    <t>Cód. Tipo Particip. Equipe Méd.</t>
  </si>
  <si>
    <t>N/A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</si>
  <si>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</si>
  <si>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</si>
  <si>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</si>
  <si>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</si>
  <si>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</si>
  <si>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</si>
  <si>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HONORA</t>
  </si>
  <si>
    <t>30909031</t>
  </si>
  <si>
    <t>HEMODIALISE CRONICA (POR SESSAO)</t>
  </si>
  <si>
    <t>CIRURGIAO</t>
  </si>
  <si>
    <t>30909155</t>
  </si>
  <si>
    <t>HEMODIALFILTRACAO ONLINE (HDF-OL)</t>
  </si>
  <si>
    <t>Classif. Guia</t>
  </si>
  <si>
    <t>GUIA CONCOMITANTE</t>
  </si>
  <si>
    <t>Classif. Interc.</t>
  </si>
  <si>
    <t>CAMPINAS</t>
  </si>
  <si>
    <t>Solic. Principal</t>
  </si>
  <si>
    <t>2701849184</t>
  </si>
  <si>
    <t>Total Guia</t>
  </si>
  <si>
    <t>Média Geral</t>
  </si>
  <si>
    <t>Mediana Geral</t>
  </si>
  <si>
    <t>Solic.</t>
  </si>
  <si>
    <t>UNCP</t>
  </si>
  <si>
    <t>uncp2636</t>
  </si>
  <si>
    <t>Descr. UNCP</t>
  </si>
  <si>
    <t>DAVITA SERVICOS DE NEFROLOGIA VALINHOS LTDA</t>
  </si>
  <si>
    <t>Tipo de Local Atend.</t>
  </si>
  <si>
    <t>CLI</t>
  </si>
  <si>
    <t>Classif. Local Atend.</t>
  </si>
  <si>
    <t>DVT</t>
  </si>
  <si>
    <t>Tipo Executante</t>
  </si>
  <si>
    <t>PF</t>
  </si>
  <si>
    <t>ID Executante</t>
  </si>
  <si>
    <t>595854</t>
  </si>
  <si>
    <t>Nome Executante</t>
  </si>
  <si>
    <t>ALESSANDRO MUNHOZ PARMIGIANI</t>
  </si>
  <si>
    <t>Cód. Tipo Prod. Méd.</t>
  </si>
  <si>
    <t>Quantidade</t>
  </si>
  <si>
    <t>Valor</t>
  </si>
  <si>
    <t>MAPA</t>
  </si>
  <si>
    <t>PJ</t>
  </si>
  <si>
    <t>3674507</t>
  </si>
  <si>
    <t>Contagem de Solic. Principal</t>
  </si>
  <si>
    <t>Sexo</t>
  </si>
  <si>
    <t>Idade</t>
  </si>
  <si>
    <t>MASCULINO</t>
  </si>
  <si>
    <t>64 ANOS</t>
  </si>
  <si>
    <t>Id Usuario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</si>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</sst>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_-\R\$\ * #,##0.00_-;\-\R\$\ * #,##0.00_-;_-\R\$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4">
    <dxf>
      <font>
        <b/>
      </font>
    </dxf>
    <dxf>
      <font>
        <color auto="1"/>
      </font>
    </dxf>
    <dxf>
      <font>
        <color auto="1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30909155 - QTD. GUIAS: 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30909155 - QTD. GUIAS: 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85131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20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30909155 - QTD. GUIAS: 1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3.398595949075" backgroundQuery="1" createdVersion="8" refreshedVersion="8" minRefreshableVersion="3" recordCount="0" supportSubquery="1" supportAdvancedDrill="1" xr:uid="{AB0145D5-1850-4862-B463-B272A6FD38D4}">
  <cacheSource type="external" connectionId="1"/>
  <cacheFields count="5">
    <cacheField name="[Measures].[Contagem de Solic. Principal]" caption="Contagem de Solic. Principal" numFmtId="0" hierarchy="24" level="32767"/>
    <cacheField name="[Intervalo].[Id Usuario].[Id Usuario]" caption="Id Usuario" numFmtId="0" hierarchy="4" level="1">
      <sharedItems containsSemiMixedTypes="0" containsString="0" containsNumber="1" containsInteger="1" minValue="6709617" maxValue="6709617" count="1">
        <n v="6709617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6709617]"/>
          </x15:cachedUniqueNames>
        </ext>
      </extLst>
    </cacheField>
    <cacheField name="[Intervalo].[Idade].[Idade]" caption="Idade" numFmtId="0" hierarchy="6" level="1">
      <sharedItems count="1">
        <s v="64 ANOS"/>
      </sharedItems>
    </cacheField>
    <cacheField name="[Intervalo].[Sexo].[Sexo]" caption="Sexo" numFmtId="0" hierarchy="5" level="1">
      <sharedItems count="1">
        <s v="MASCULINO"/>
      </sharedItems>
    </cacheField>
    <cacheField name="[Intervalo].[Cód. Serviço].[Cód. Serviço]" caption="Cód. Serviço" numFmtId="0" hierarchy="16" level="1">
      <sharedItems count="3">
        <s v="30909031"/>
        <s v="30909155"/>
        <s v="98000363"/>
      </sharedItems>
    </cacheField>
  </cacheFields>
  <cacheHierarchies count="25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130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130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1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130" unbalanced="0">
      <fieldsUsage count="2">
        <fieldUsage x="-1"/>
        <fieldUsage x="4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20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Solic. Principal]" caption="Contagem de Solic. Principal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5736B-D81E-4235-8B3A-A2FC4EA2CB0A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8" firstHeaderRow="1" firstDataRow="2" firstDataCol="3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3">
    <field x="1"/>
    <field x="2"/>
    <field x="4"/>
  </rowFields>
  <rowItems count="4">
    <i>
      <x/>
      <x/>
      <x/>
    </i>
    <i r="2">
      <x v="1"/>
    </i>
    <i r="2">
      <x v="2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Solic. Principal" fld="0" subtotal="count" baseField="0" baseItem="0"/>
  </dataFields>
  <formats count="4"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0">
      <pivotArea dataOnly="0" labelOnly="1" outline="0" fieldPosition="0">
        <references count="2">
          <reference field="1" count="0" selected="0"/>
          <reference field="2" count="0"/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6" showRowHeaders="1" showColHeaders="1" showRowStripes="0" showColStripes="0" showLastColumn="1"/>
  <rowHierarchiesUsage count="3">
    <rowHierarchyUsage hierarchyUsage="4"/>
    <rowHierarchyUsage hierarchyUsage="6"/>
    <rowHierarchyUsage hierarchyUsage="1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T$10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9"/>
  <sheetViews>
    <sheetView showGridLines="0" workbookViewId="0">
      <selection activeCell="E39" sqref="E39"/>
    </sheetView>
  </sheetViews>
  <sheetFormatPr defaultRowHeight="14.5" x14ac:dyDescent="0.35"/>
  <cols>
    <col min="1" max="1" width="2.54296875" customWidth="1"/>
    <col min="2" max="3" width="18.7265625" customWidth="1"/>
    <col min="4" max="4" width="11.54296875" customWidth="1"/>
    <col min="5" max="5" width="70.7265625" customWidth="1"/>
    <col min="6" max="6" width="27.7265625" customWidth="1"/>
    <col min="7" max="7" width="10.7265625" customWidth="1"/>
    <col min="8" max="8" width="12.7265625" customWidth="1"/>
    <col min="9" max="9" width="16.7265625" customWidth="1"/>
    <col min="10" max="10" width="25.7265625" customWidth="1"/>
    <col min="11" max="12" width="19.7265625" customWidth="1"/>
  </cols>
  <sheetData>
    <row r="6" spans="2:12" x14ac:dyDescent="0.35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 x14ac:dyDescent="0.35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1</v>
      </c>
      <c r="H7" s="4">
        <v>1</v>
      </c>
      <c r="I7" s="3">
        <v>1</v>
      </c>
      <c r="J7" s="5">
        <v>1</v>
      </c>
      <c r="K7" s="6">
        <v>572.05999999999995</v>
      </c>
      <c r="L7" s="6">
        <v>572.05999999999995</v>
      </c>
    </row>
    <row r="8" spans="2:12" x14ac:dyDescent="0.35">
      <c r="B8" s="2" t="s">
        <v>1</v>
      </c>
      <c r="C8" s="3" t="s">
        <v>16</v>
      </c>
      <c r="D8" s="3" t="s">
        <v>17</v>
      </c>
      <c r="E8" s="2" t="s">
        <v>18</v>
      </c>
      <c r="F8" s="3" t="s">
        <v>19</v>
      </c>
      <c r="G8" s="3">
        <v>1</v>
      </c>
      <c r="H8" s="4">
        <v>1</v>
      </c>
      <c r="I8" s="3">
        <v>1</v>
      </c>
      <c r="J8" s="5">
        <v>1</v>
      </c>
      <c r="K8" s="6">
        <v>63.53</v>
      </c>
      <c r="L8" s="6">
        <v>63.53</v>
      </c>
    </row>
    <row r="9" spans="2:12" x14ac:dyDescent="0.35">
      <c r="B9" s="2" t="s">
        <v>1</v>
      </c>
      <c r="C9" s="3" t="s">
        <v>16</v>
      </c>
      <c r="D9" s="3" t="s">
        <v>20</v>
      </c>
      <c r="E9" s="2" t="s">
        <v>21</v>
      </c>
      <c r="F9" s="3" t="s">
        <v>19</v>
      </c>
      <c r="G9" s="3">
        <v>1</v>
      </c>
      <c r="H9" s="4">
        <v>1</v>
      </c>
      <c r="I9" s="3">
        <v>2</v>
      </c>
      <c r="J9" s="5">
        <v>2</v>
      </c>
      <c r="K9" s="6">
        <v>190.58</v>
      </c>
      <c r="L9" s="6">
        <v>95.29</v>
      </c>
    </row>
  </sheetData>
  <autoFilter ref="B4:L6" xr:uid="{00000000-0009-0000-0000-000000000000}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G9"/>
  <sheetViews>
    <sheetView showGridLines="0" workbookViewId="0"/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7" x14ac:dyDescent="0.35">
      <c r="B6" s="1" t="s">
        <v>22</v>
      </c>
      <c r="C6" s="1" t="s">
        <v>24</v>
      </c>
      <c r="D6" s="1" t="s">
        <v>26</v>
      </c>
      <c r="E6" s="1" t="s">
        <v>3</v>
      </c>
      <c r="F6" s="1" t="s">
        <v>16</v>
      </c>
      <c r="G6" s="1" t="s">
        <v>28</v>
      </c>
    </row>
    <row r="7" spans="2:7" x14ac:dyDescent="0.35">
      <c r="B7" s="3" t="s">
        <v>23</v>
      </c>
      <c r="C7" s="3" t="s">
        <v>25</v>
      </c>
      <c r="D7" s="3" t="s">
        <v>27</v>
      </c>
      <c r="E7" s="6">
        <v>572.05999999999995</v>
      </c>
      <c r="F7" s="6">
        <v>254.11</v>
      </c>
      <c r="G7" s="7">
        <v>826.17</v>
      </c>
    </row>
    <row r="8" spans="2:7" x14ac:dyDescent="0.35">
      <c r="B8" s="7" t="s">
        <v>29</v>
      </c>
      <c r="C8" s="7"/>
      <c r="D8" s="7"/>
      <c r="E8" s="7">
        <v>572.05999999999995</v>
      </c>
      <c r="F8" s="7">
        <v>254.11</v>
      </c>
      <c r="G8" s="7">
        <v>826.17</v>
      </c>
    </row>
    <row r="9" spans="2:7" x14ac:dyDescent="0.35">
      <c r="B9" s="7" t="s">
        <v>30</v>
      </c>
      <c r="C9" s="7"/>
      <c r="D9" s="7"/>
      <c r="E9" s="7">
        <v>572.05999999999995</v>
      </c>
      <c r="F9" s="7">
        <v>254.11</v>
      </c>
      <c r="G9" s="7">
        <v>826.17</v>
      </c>
    </row>
  </sheetData>
  <autoFilter ref="B4:G6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W10"/>
  <sheetViews>
    <sheetView showGridLines="0" topLeftCell="B1" workbookViewId="0">
      <selection activeCell="F7" sqref="F7"/>
    </sheetView>
  </sheetViews>
  <sheetFormatPr defaultRowHeight="14.5" x14ac:dyDescent="0.35"/>
  <cols>
    <col min="1" max="1" width="2.54296875" customWidth="1"/>
    <col min="2" max="3" width="20.7265625" customWidth="1"/>
    <col min="4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8" width="11.7265625" customWidth="1"/>
    <col min="19" max="19" width="50.7265625" customWidth="1"/>
    <col min="20" max="20" width="27.7265625" customWidth="1"/>
    <col min="21" max="22" width="10.7265625" customWidth="1"/>
  </cols>
  <sheetData>
    <row r="6" spans="2:23" x14ac:dyDescent="0.35">
      <c r="B6" s="1" t="s">
        <v>22</v>
      </c>
      <c r="C6" s="1" t="s">
        <v>24</v>
      </c>
      <c r="D6" s="1" t="s">
        <v>26</v>
      </c>
      <c r="E6" s="1" t="s">
        <v>31</v>
      </c>
      <c r="F6" s="1" t="s">
        <v>57</v>
      </c>
      <c r="G6" s="1" t="s">
        <v>53</v>
      </c>
      <c r="H6" s="1" t="s">
        <v>54</v>
      </c>
      <c r="I6" s="1" t="s">
        <v>0</v>
      </c>
      <c r="J6" s="1" t="s">
        <v>32</v>
      </c>
      <c r="K6" s="1" t="s">
        <v>34</v>
      </c>
      <c r="L6" s="1" t="s">
        <v>36</v>
      </c>
      <c r="M6" s="1" t="s">
        <v>38</v>
      </c>
      <c r="N6" s="1" t="s">
        <v>40</v>
      </c>
      <c r="O6" s="1" t="s">
        <v>42</v>
      </c>
      <c r="P6" s="1" t="s">
        <v>44</v>
      </c>
      <c r="Q6" s="1" t="s">
        <v>46</v>
      </c>
      <c r="R6" s="1" t="s">
        <v>4</v>
      </c>
      <c r="S6" s="1" t="s">
        <v>6</v>
      </c>
      <c r="T6" s="1" t="s">
        <v>8</v>
      </c>
      <c r="U6" s="1" t="s">
        <v>47</v>
      </c>
      <c r="V6" s="1" t="s">
        <v>48</v>
      </c>
      <c r="W6" s="1" t="s">
        <v>49</v>
      </c>
    </row>
    <row r="7" spans="2:23" x14ac:dyDescent="0.35">
      <c r="B7" s="3" t="s">
        <v>23</v>
      </c>
      <c r="C7" s="3" t="s">
        <v>25</v>
      </c>
      <c r="D7" s="3" t="s">
        <v>27</v>
      </c>
      <c r="E7" s="2" t="s">
        <v>27</v>
      </c>
      <c r="F7" s="2">
        <v>6709617</v>
      </c>
      <c r="G7" s="2" t="s">
        <v>55</v>
      </c>
      <c r="H7" s="2" t="s">
        <v>56</v>
      </c>
      <c r="I7" s="2" t="s">
        <v>1</v>
      </c>
      <c r="J7" s="2" t="s">
        <v>33</v>
      </c>
      <c r="K7" s="3" t="s">
        <v>35</v>
      </c>
      <c r="L7" s="3" t="s">
        <v>37</v>
      </c>
      <c r="M7" s="3" t="s">
        <v>39</v>
      </c>
      <c r="N7" s="3" t="s">
        <v>41</v>
      </c>
      <c r="O7" s="2" t="s">
        <v>43</v>
      </c>
      <c r="P7" s="3" t="s">
        <v>45</v>
      </c>
      <c r="Q7" s="3" t="s">
        <v>16</v>
      </c>
      <c r="R7" s="2" t="s">
        <v>20</v>
      </c>
      <c r="S7" s="3" t="s">
        <v>21</v>
      </c>
      <c r="T7" s="3" t="s">
        <v>19</v>
      </c>
      <c r="U7" s="5">
        <v>1</v>
      </c>
      <c r="V7" s="3">
        <v>127.05</v>
      </c>
      <c r="W7" s="3" t="s">
        <v>20</v>
      </c>
    </row>
    <row r="8" spans="2:23" x14ac:dyDescent="0.35">
      <c r="B8" s="3" t="s">
        <v>23</v>
      </c>
      <c r="C8" s="3" t="s">
        <v>25</v>
      </c>
      <c r="D8" s="3" t="s">
        <v>27</v>
      </c>
      <c r="E8" s="2" t="s">
        <v>27</v>
      </c>
      <c r="F8" s="2">
        <v>6709617</v>
      </c>
      <c r="G8" s="2" t="s">
        <v>55</v>
      </c>
      <c r="H8" s="2" t="s">
        <v>56</v>
      </c>
      <c r="I8" s="2" t="s">
        <v>1</v>
      </c>
      <c r="J8" s="2" t="s">
        <v>33</v>
      </c>
      <c r="K8" s="3" t="s">
        <v>35</v>
      </c>
      <c r="L8" s="3" t="s">
        <v>37</v>
      </c>
      <c r="M8" s="3" t="s">
        <v>39</v>
      </c>
      <c r="N8" s="3" t="s">
        <v>41</v>
      </c>
      <c r="O8" s="2" t="s">
        <v>43</v>
      </c>
      <c r="P8" s="3" t="s">
        <v>45</v>
      </c>
      <c r="Q8" s="3" t="s">
        <v>16</v>
      </c>
      <c r="R8" s="2" t="s">
        <v>20</v>
      </c>
      <c r="S8" s="3" t="s">
        <v>21</v>
      </c>
      <c r="T8" s="3" t="s">
        <v>19</v>
      </c>
      <c r="U8" s="5">
        <v>1</v>
      </c>
      <c r="V8" s="3">
        <v>63.53</v>
      </c>
      <c r="W8" s="3" t="s">
        <v>20</v>
      </c>
    </row>
    <row r="9" spans="2:23" x14ac:dyDescent="0.35">
      <c r="B9" s="3" t="s">
        <v>23</v>
      </c>
      <c r="C9" s="3" t="s">
        <v>25</v>
      </c>
      <c r="D9" s="3" t="s">
        <v>27</v>
      </c>
      <c r="E9" s="2" t="s">
        <v>27</v>
      </c>
      <c r="F9" s="2">
        <v>6709617</v>
      </c>
      <c r="G9" s="2" t="s">
        <v>55</v>
      </c>
      <c r="H9" s="2" t="s">
        <v>56</v>
      </c>
      <c r="I9" s="2" t="s">
        <v>1</v>
      </c>
      <c r="J9" s="2" t="s">
        <v>33</v>
      </c>
      <c r="K9" s="3" t="s">
        <v>35</v>
      </c>
      <c r="L9" s="3" t="s">
        <v>37</v>
      </c>
      <c r="M9" s="3" t="s">
        <v>39</v>
      </c>
      <c r="N9" s="3" t="s">
        <v>50</v>
      </c>
      <c r="O9" s="2" t="s">
        <v>51</v>
      </c>
      <c r="P9" s="3" t="s">
        <v>35</v>
      </c>
      <c r="Q9" s="3" t="s">
        <v>3</v>
      </c>
      <c r="R9" s="2" t="s">
        <v>5</v>
      </c>
      <c r="S9" s="3" t="s">
        <v>7</v>
      </c>
      <c r="T9" s="3" t="s">
        <v>9</v>
      </c>
      <c r="U9" s="5">
        <v>1</v>
      </c>
      <c r="V9" s="3">
        <v>572.05999999999995</v>
      </c>
      <c r="W9" s="3" t="s">
        <v>20</v>
      </c>
    </row>
    <row r="10" spans="2:23" x14ac:dyDescent="0.35">
      <c r="B10" s="3" t="s">
        <v>23</v>
      </c>
      <c r="C10" s="3" t="s">
        <v>25</v>
      </c>
      <c r="D10" s="3" t="s">
        <v>27</v>
      </c>
      <c r="E10" s="2" t="s">
        <v>27</v>
      </c>
      <c r="F10" s="2">
        <v>6709617</v>
      </c>
      <c r="G10" s="2" t="s">
        <v>55</v>
      </c>
      <c r="H10" s="2" t="s">
        <v>56</v>
      </c>
      <c r="I10" s="2" t="s">
        <v>1</v>
      </c>
      <c r="J10" s="2" t="s">
        <v>33</v>
      </c>
      <c r="K10" s="3" t="s">
        <v>35</v>
      </c>
      <c r="L10" s="3" t="s">
        <v>37</v>
      </c>
      <c r="M10" s="3" t="s">
        <v>39</v>
      </c>
      <c r="N10" s="3" t="s">
        <v>41</v>
      </c>
      <c r="O10" s="2" t="s">
        <v>43</v>
      </c>
      <c r="P10" s="3" t="s">
        <v>45</v>
      </c>
      <c r="Q10" s="3" t="s">
        <v>16</v>
      </c>
      <c r="R10" s="2" t="s">
        <v>17</v>
      </c>
      <c r="S10" s="3" t="s">
        <v>18</v>
      </c>
      <c r="T10" s="3" t="s">
        <v>19</v>
      </c>
      <c r="U10" s="5">
        <v>1</v>
      </c>
      <c r="V10" s="3">
        <v>63.53</v>
      </c>
      <c r="W10" s="3" t="s">
        <v>20</v>
      </c>
    </row>
  </sheetData>
  <autoFilter ref="B5:W6" xr:uid="{00000000-0009-0000-0000-000002000000}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48BA-1DDD-438C-A2AC-F08B3FED7462}">
  <dimension ref="A3:E8"/>
  <sheetViews>
    <sheetView tabSelected="1" workbookViewId="0">
      <selection activeCell="C30" sqref="C29:C30"/>
    </sheetView>
  </sheetViews>
  <sheetFormatPr defaultRowHeight="14.5" x14ac:dyDescent="0.35"/>
  <cols>
    <col min="1" max="1" width="25.36328125" bestFit="1" customWidth="1"/>
    <col min="2" max="2" width="18.81640625" bestFit="1" customWidth="1"/>
    <col min="3" max="3" width="13.6328125" bestFit="1" customWidth="1"/>
    <col min="4" max="4" width="11.453125" bestFit="1" customWidth="1"/>
    <col min="5" max="5" width="10.1796875" bestFit="1" customWidth="1"/>
  </cols>
  <sheetData>
    <row r="3" spans="1:5" x14ac:dyDescent="0.35">
      <c r="A3" t="s">
        <v>52</v>
      </c>
      <c r="D3" t="s">
        <v>53</v>
      </c>
    </row>
    <row r="4" spans="1:5" x14ac:dyDescent="0.35">
      <c r="A4" t="s">
        <v>57</v>
      </c>
      <c r="B4" t="s">
        <v>54</v>
      </c>
      <c r="C4" t="s">
        <v>4</v>
      </c>
      <c r="D4" t="s">
        <v>55</v>
      </c>
      <c r="E4" t="s">
        <v>58</v>
      </c>
    </row>
    <row r="5" spans="1:5" x14ac:dyDescent="0.35">
      <c r="A5" s="9">
        <v>6709617</v>
      </c>
      <c r="B5" s="9" t="s">
        <v>56</v>
      </c>
      <c r="C5" t="s">
        <v>17</v>
      </c>
      <c r="D5" s="8">
        <v>1</v>
      </c>
      <c r="E5" s="8">
        <v>1</v>
      </c>
    </row>
    <row r="6" spans="1:5" x14ac:dyDescent="0.35">
      <c r="C6" t="s">
        <v>20</v>
      </c>
      <c r="D6" s="8">
        <v>2</v>
      </c>
      <c r="E6" s="8">
        <v>2</v>
      </c>
    </row>
    <row r="7" spans="1:5" x14ac:dyDescent="0.35">
      <c r="C7" t="s">
        <v>5</v>
      </c>
      <c r="D7" s="8">
        <v>1</v>
      </c>
      <c r="E7" s="8">
        <v>1</v>
      </c>
    </row>
    <row r="8" spans="1:5" x14ac:dyDescent="0.35">
      <c r="A8" t="s">
        <v>58</v>
      </c>
      <c r="D8" s="8">
        <v>4</v>
      </c>
      <c r="E8" s="8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- 30909155</vt:lpstr>
      <vt:lpstr>CM - 30909155</vt:lpstr>
      <vt:lpstr>BASE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Mendes Oliveira</cp:lastModifiedBy>
  <dcterms:created xsi:type="dcterms:W3CDTF">2024-08-05T12:04:36Z</dcterms:created>
  <dcterms:modified xsi:type="dcterms:W3CDTF">2024-08-09T12:36:15Z</dcterms:modified>
</cp:coreProperties>
</file>